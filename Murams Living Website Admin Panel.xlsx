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Admin_Pages_Details"/>
    <sheet r:id="rId2" sheetId="2" name="G_St_Info"/>
    <sheet r:id="rId3" sheetId="3" name="S_St_Info"/>
    <sheet r:id="rId4" sheetId="4" name="Gold_St_P"/>
    <sheet r:id="rId5" sheetId="5" name="Silver_St_P"/>
    <sheet r:id="rId6" sheetId="6" name="D_Exp"/>
    <sheet r:id="rId7" sheetId="7" name="2025_Exp"/>
    <sheet r:id="rId8" sheetId="8" name="M_Salary"/>
    <sheet r:id="rId9" sheetId="9" name="W_Contact_Info"/>
    <sheet r:id="rId10" sheetId="10" name="Food"/>
  </sheets>
  <calcPr fullCalcOnLoad="1"/>
</workbook>
</file>

<file path=xl/sharedStrings.xml><?xml version="1.0" encoding="utf-8"?>
<sst xmlns="http://schemas.openxmlformats.org/spreadsheetml/2006/main" count="598" uniqueCount="264">
  <si>
    <t>Name</t>
  </si>
  <si>
    <t>PH_NO</t>
  </si>
  <si>
    <t>Comment</t>
  </si>
  <si>
    <t>Murali</t>
  </si>
  <si>
    <t>Bhagavnth</t>
  </si>
  <si>
    <t>Lelavathi</t>
  </si>
  <si>
    <t>Satyamma</t>
  </si>
  <si>
    <t>Raju(CookMaster)</t>
  </si>
  <si>
    <t>Bhanu(Supervisor)</t>
  </si>
  <si>
    <t>CC_Camara Satish</t>
  </si>
  <si>
    <t>Lift Service Contact</t>
  </si>
  <si>
    <t>Electricity_Rami Reddy</t>
  </si>
  <si>
    <t>Plumber_Srinivas Reddy</t>
  </si>
  <si>
    <t>Solar_Water Heater_Ramana</t>
  </si>
  <si>
    <t>Gass Cylander provider</t>
  </si>
  <si>
    <t>Muncipality Cleaners</t>
  </si>
  <si>
    <t>Expenditure</t>
  </si>
  <si>
    <t xml:space="preserve">Name </t>
  </si>
  <si>
    <t>Amount</t>
  </si>
  <si>
    <t>Manager</t>
  </si>
  <si>
    <t>CoockMaster_Salary</t>
  </si>
  <si>
    <t>Raju</t>
  </si>
  <si>
    <t xml:space="preserve">Kitchen/Sweeper_Salary </t>
  </si>
  <si>
    <t>Leelavathi</t>
  </si>
  <si>
    <t>Satyavathi</t>
  </si>
  <si>
    <t>Kitchen/Food Area Helper</t>
  </si>
  <si>
    <t>Bhagavathi</t>
  </si>
  <si>
    <t>Supervisor</t>
  </si>
  <si>
    <t>Bhanu</t>
  </si>
  <si>
    <t>Power Bill Monthly_Silver</t>
  </si>
  <si>
    <t>Power_Silver</t>
  </si>
  <si>
    <t>Power Bill Monthly_Gold</t>
  </si>
  <si>
    <t>Power_Gold</t>
  </si>
  <si>
    <t>Other Maintainance Monthly</t>
  </si>
  <si>
    <t>All include</t>
  </si>
  <si>
    <t>Monthly Rent_Silver</t>
  </si>
  <si>
    <t>Silver Building</t>
  </si>
  <si>
    <t>Monthly Rent_Gold</t>
  </si>
  <si>
    <t>Gold Building</t>
  </si>
  <si>
    <t xml:space="preserve">                     </t>
  </si>
  <si>
    <t>Total</t>
  </si>
  <si>
    <r>
      <t/>
    </r>
    <r>
      <rPr>
        <b/>
        <sz val="11"/>
        <color rgb="FF000000"/>
        <rFont val="Aptos Narrow"/>
        <family val="2"/>
      </rPr>
      <t>MuramsLiving Admin Panel</t>
    </r>
    <r>
      <rPr>
        <sz val="11"/>
        <color rgb="FF000000"/>
        <rFont val="Aptos Narrow"/>
        <family val="2"/>
      </rPr>
      <t xml:space="preserve">
1. Students_Info
2. Daily Expense_Details
        - Grocery Expense
        - Miscellaneous(Other than Groceries)
        - Workers Monthly Salaries &amp; payments
3. Students Payment Details
        - Gold :  Building
        - Silver : Building
4. Food Menu
5. Workers Contact Details</t>
    </r>
  </si>
  <si>
    <t>AUG_2025</t>
  </si>
  <si>
    <t>SEPT_2025</t>
  </si>
  <si>
    <t>OCT_2025</t>
  </si>
  <si>
    <t>NOV_2025</t>
  </si>
  <si>
    <t>DEC_2025</t>
  </si>
  <si>
    <t>JAN_2025</t>
  </si>
  <si>
    <t>FEB_2025</t>
  </si>
  <si>
    <t>MAR_2025</t>
  </si>
  <si>
    <t>APR_2025</t>
  </si>
  <si>
    <t>DATE</t>
  </si>
  <si>
    <t>FOOD_EXP</t>
  </si>
  <si>
    <t>OTHER_EXP</t>
  </si>
  <si>
    <t>TOTAL</t>
  </si>
  <si>
    <t>Students_T</t>
  </si>
  <si>
    <t>Food_Per_Stu</t>
  </si>
  <si>
    <t>FOOD_EXP_Name</t>
  </si>
  <si>
    <t>FOOD_EXP_Amout</t>
  </si>
  <si>
    <t>OTHER_EXP_Name</t>
  </si>
  <si>
    <t>OTHER_EXP_Amout</t>
  </si>
  <si>
    <t>TOTAL_Expense</t>
  </si>
  <si>
    <t>G_TOTAL_Expense</t>
  </si>
  <si>
    <t>Rice 2 bags</t>
  </si>
  <si>
    <t>Tap Repair</t>
  </si>
  <si>
    <t>Curd &amp; milk</t>
  </si>
  <si>
    <t>Salary Advance</t>
  </si>
  <si>
    <t>Eggs</t>
  </si>
  <si>
    <t>Byke Petrol</t>
  </si>
  <si>
    <t>Rice 3 bags</t>
  </si>
  <si>
    <t>Washing Liquid</t>
  </si>
  <si>
    <t>Murmas-Silver</t>
  </si>
  <si>
    <t>Room_No</t>
  </si>
  <si>
    <t>Phone_No</t>
  </si>
  <si>
    <t>Advance</t>
  </si>
  <si>
    <t>M_Rent</t>
  </si>
  <si>
    <t>New_Rent</t>
  </si>
  <si>
    <t>July</t>
  </si>
  <si>
    <t>Aug</t>
  </si>
  <si>
    <t>Sep</t>
  </si>
  <si>
    <t>Oct</t>
  </si>
  <si>
    <t>Nov</t>
  </si>
  <si>
    <t>Dec</t>
  </si>
  <si>
    <t>GF-1</t>
  </si>
  <si>
    <t>R1</t>
  </si>
  <si>
    <t>R2</t>
  </si>
  <si>
    <t xml:space="preserve">Rohan </t>
  </si>
  <si>
    <t>R3</t>
  </si>
  <si>
    <t>New</t>
  </si>
  <si>
    <t>L1</t>
  </si>
  <si>
    <t>Arvindh</t>
  </si>
  <si>
    <t>L2</t>
  </si>
  <si>
    <t xml:space="preserve">Rammappa Sai </t>
  </si>
  <si>
    <t>L3</t>
  </si>
  <si>
    <t>H1</t>
  </si>
  <si>
    <t>H2</t>
  </si>
  <si>
    <t>GF-2</t>
  </si>
  <si>
    <t xml:space="preserve">Pranay </t>
  </si>
  <si>
    <t>Jayanth</t>
  </si>
  <si>
    <t xml:space="preserve">Pavan </t>
  </si>
  <si>
    <t xml:space="preserve">Mani </t>
  </si>
  <si>
    <t>R.Dinesh</t>
  </si>
  <si>
    <t>FF-1</t>
  </si>
  <si>
    <t xml:space="preserve">Jayapal </t>
  </si>
  <si>
    <t>Paid Till April  26 (80000)</t>
  </si>
  <si>
    <t xml:space="preserve">Yaswanth Warma </t>
  </si>
  <si>
    <t>Swamy</t>
  </si>
  <si>
    <t xml:space="preserve">Hamenth Sai </t>
  </si>
  <si>
    <t>Bhanu Prasad</t>
  </si>
  <si>
    <t>Bhanu No payment (working as supervisor)</t>
  </si>
  <si>
    <t>Charan</t>
  </si>
  <si>
    <t>Vikash</t>
  </si>
  <si>
    <t>FF-2</t>
  </si>
  <si>
    <t xml:space="preserve">V.Vinodh Kumar </t>
  </si>
  <si>
    <t>Revanth</t>
  </si>
  <si>
    <t>Gowri shankar</t>
  </si>
  <si>
    <t xml:space="preserve">A.Bhushan </t>
  </si>
  <si>
    <t xml:space="preserve">Rakesh </t>
  </si>
  <si>
    <t>Sri Ram</t>
  </si>
  <si>
    <t>SF-1</t>
  </si>
  <si>
    <t xml:space="preserve">Abhi Ram </t>
  </si>
  <si>
    <t>Yeswanth</t>
  </si>
  <si>
    <t>Bandi chandis</t>
  </si>
  <si>
    <t>K.Ajith Babu</t>
  </si>
  <si>
    <t>G.Hemanth</t>
  </si>
  <si>
    <t>SF-2</t>
  </si>
  <si>
    <t xml:space="preserve">R.Lokesh </t>
  </si>
  <si>
    <t>singal person paid 67000</t>
  </si>
  <si>
    <t>A.Rahul</t>
  </si>
  <si>
    <t>A.Tharun</t>
  </si>
  <si>
    <t>Manish</t>
  </si>
  <si>
    <t>H-1</t>
  </si>
  <si>
    <t>H-2</t>
  </si>
  <si>
    <t>Murams-GOLD</t>
  </si>
  <si>
    <t>May_25</t>
  </si>
  <si>
    <t>Jun_25</t>
  </si>
  <si>
    <t>1st Floor</t>
  </si>
  <si>
    <t>11--1</t>
  </si>
  <si>
    <t>K.Appala naidu</t>
  </si>
  <si>
    <t>11--2</t>
  </si>
  <si>
    <t>Sudheer sharma</t>
  </si>
  <si>
    <t>12--1</t>
  </si>
  <si>
    <t>Syed.Naseer</t>
  </si>
  <si>
    <t>12--2</t>
  </si>
  <si>
    <t>Devarakonda Anirudh</t>
  </si>
  <si>
    <t>12--3</t>
  </si>
  <si>
    <t>p.v.g.siva Sai Sharma</t>
  </si>
  <si>
    <t>Y.Deepak</t>
  </si>
  <si>
    <t>New Join 5Aug2025</t>
  </si>
  <si>
    <t>S.K.Larrif</t>
  </si>
  <si>
    <t>New Join Sep2025</t>
  </si>
  <si>
    <t>Sk Hassan Khan</t>
  </si>
  <si>
    <t>Paid 37000(5Months)</t>
  </si>
  <si>
    <t>sayak</t>
  </si>
  <si>
    <t>New Join Aug2025</t>
  </si>
  <si>
    <t>Kumar Rupesh Patel</t>
  </si>
  <si>
    <t>G.Madhu</t>
  </si>
  <si>
    <t>P.Shiva kumar</t>
  </si>
  <si>
    <t xml:space="preserve">Bhasker </t>
  </si>
  <si>
    <t>15- 3</t>
  </si>
  <si>
    <t>Harsha</t>
  </si>
  <si>
    <t>2nd Floor</t>
  </si>
  <si>
    <t>Sai Asish</t>
  </si>
  <si>
    <t>Sai Asish Father</t>
  </si>
  <si>
    <t>S.Pranay</t>
  </si>
  <si>
    <t>Paid 30000 New join</t>
  </si>
  <si>
    <t>Niraj.Murmu</t>
  </si>
  <si>
    <t>B.Nilesh</t>
  </si>
  <si>
    <t>Y.chandhu</t>
  </si>
  <si>
    <t>Sai Kiran</t>
  </si>
  <si>
    <t>vijay</t>
  </si>
  <si>
    <t>Bhanu Kalyan</t>
  </si>
  <si>
    <t xml:space="preserve">Siddu </t>
  </si>
  <si>
    <t xml:space="preserve">V.Charan </t>
  </si>
  <si>
    <t xml:space="preserve">I.Sai Krishna </t>
  </si>
  <si>
    <t xml:space="preserve">K.murali </t>
  </si>
  <si>
    <t>Hemanth Kumar</t>
  </si>
  <si>
    <t>Sumanth Shetty</t>
  </si>
  <si>
    <t>3rd Floor</t>
  </si>
  <si>
    <t xml:space="preserve">P.Surya Teja </t>
  </si>
  <si>
    <t>31-2</t>
  </si>
  <si>
    <t>p.Manish</t>
  </si>
  <si>
    <t>32-1</t>
  </si>
  <si>
    <t>Sai Tharun Ranganath</t>
  </si>
  <si>
    <t>32-2</t>
  </si>
  <si>
    <t xml:space="preserve">Sandeep Ram </t>
  </si>
  <si>
    <t>32-3</t>
  </si>
  <si>
    <t xml:space="preserve">T.Ram Charan </t>
  </si>
  <si>
    <t>33-1</t>
  </si>
  <si>
    <t xml:space="preserve">Santosh </t>
  </si>
  <si>
    <t>33-2</t>
  </si>
  <si>
    <t>33-3</t>
  </si>
  <si>
    <t>C.H Harish kumar</t>
  </si>
  <si>
    <t>33-4</t>
  </si>
  <si>
    <t>Hima Shekar</t>
  </si>
  <si>
    <t>34-1</t>
  </si>
  <si>
    <t>Pramod Kumar</t>
  </si>
  <si>
    <t>34-2</t>
  </si>
  <si>
    <t>Amal</t>
  </si>
  <si>
    <t>34-3</t>
  </si>
  <si>
    <t>Ss Karthik</t>
  </si>
  <si>
    <t>35-1</t>
  </si>
  <si>
    <t xml:space="preserve">P.Sai Sreenivas </t>
  </si>
  <si>
    <t>35-2</t>
  </si>
  <si>
    <t>P.Khagesh</t>
  </si>
  <si>
    <t>35-3</t>
  </si>
  <si>
    <t>M.Yogendra</t>
  </si>
  <si>
    <t>4th Floor</t>
  </si>
  <si>
    <t>41-1 A</t>
  </si>
  <si>
    <t>Meesala Praven</t>
  </si>
  <si>
    <t>41-2 A</t>
  </si>
  <si>
    <t>Gomesh</t>
  </si>
  <si>
    <t>42-1 A</t>
  </si>
  <si>
    <t>42-2 A</t>
  </si>
  <si>
    <t>Rupesh</t>
  </si>
  <si>
    <t>42-3 A</t>
  </si>
  <si>
    <t>Asif Khan</t>
  </si>
  <si>
    <t>43-1 A</t>
  </si>
  <si>
    <t>Nithin</t>
  </si>
  <si>
    <t>43-2 A</t>
  </si>
  <si>
    <t>Ganesh</t>
  </si>
  <si>
    <t>43-3 A</t>
  </si>
  <si>
    <t>Sumanth</t>
  </si>
  <si>
    <t>43-4 A</t>
  </si>
  <si>
    <t>Moshif Ali</t>
  </si>
  <si>
    <t>44-1 A</t>
  </si>
  <si>
    <t>A.Chandhu</t>
  </si>
  <si>
    <t>44-2 A</t>
  </si>
  <si>
    <t>M.Shiva Ganesh</t>
  </si>
  <si>
    <t>44-3 A</t>
  </si>
  <si>
    <t>Bala Charan</t>
  </si>
  <si>
    <t>paid 33000 till Nov 2025</t>
  </si>
  <si>
    <t>44-4 A</t>
  </si>
  <si>
    <t>Vara Prasad</t>
  </si>
  <si>
    <t>44-5 A</t>
  </si>
  <si>
    <t>Vitesh</t>
  </si>
  <si>
    <t>44-6 A</t>
  </si>
  <si>
    <t>B.Shankar Rao</t>
  </si>
  <si>
    <t>44-7A</t>
  </si>
  <si>
    <t>J.Dheeraj</t>
  </si>
  <si>
    <t>Empty Bed</t>
  </si>
  <si>
    <t>Join_Date</t>
  </si>
  <si>
    <t>Adhar_No</t>
  </si>
  <si>
    <t>Instution_Name</t>
  </si>
  <si>
    <t>Branch</t>
  </si>
  <si>
    <t>Year</t>
  </si>
  <si>
    <t>Father/Mother Name</t>
  </si>
  <si>
    <t>F_Contact_No</t>
  </si>
  <si>
    <t>Address</t>
  </si>
  <si>
    <t>Reference</t>
  </si>
  <si>
    <t>GF-R-1</t>
  </si>
  <si>
    <t>GF-R-2</t>
  </si>
  <si>
    <t>GITAM</t>
  </si>
  <si>
    <t>Medicin</t>
  </si>
  <si>
    <t>3rd</t>
  </si>
  <si>
    <t>K.Naidu</t>
  </si>
  <si>
    <t>Full adhar addres/Current Address</t>
  </si>
  <si>
    <t>Direct/Website/socialMedia/Friend Name</t>
  </si>
  <si>
    <t>GF-R-3</t>
  </si>
  <si>
    <t>GF-L-1</t>
  </si>
  <si>
    <t>GF-L-2</t>
  </si>
  <si>
    <t>GF-L-3</t>
  </si>
  <si>
    <t>No_Of_Months</t>
  </si>
  <si>
    <r>
      <t/>
    </r>
    <r>
      <rPr>
        <b/>
        <sz val="16"/>
        <color rgb="FF000000"/>
        <rFont val="Aptos Narrow"/>
        <family val="2"/>
      </rPr>
      <t>MuramsLiving Admin Panel</t>
    </r>
    <r>
      <rPr>
        <b/>
        <sz val="11"/>
        <color rgb="FF000000"/>
        <rFont val="Aptos Narrow"/>
        <family val="2"/>
      </rPr>
      <t xml:space="preserve">
</t>
    </r>
    <r>
      <rPr>
        <sz val="11"/>
        <color rgb="FF000000"/>
        <rFont val="Aptos Narrow"/>
        <family val="2"/>
      </rPr>
      <t xml:space="preserve">
</t>
    </r>
    <r>
      <rPr>
        <b/>
        <u/>
        <sz val="11"/>
        <color rgb="FF000000"/>
        <rFont val="Aptos Narrow"/>
        <family val="2"/>
      </rPr>
      <t>1. Students_Join_Details</t>
    </r>
    <r>
      <rPr>
        <sz val="11"/>
        <color rgb="FF000000"/>
        <rFont val="Aptos Narrow"/>
        <family val="2"/>
      </rPr>
      <t xml:space="preserve">
        - Gold :  Building
        - Silver :  Building
</t>
    </r>
    <r>
      <rPr>
        <b/>
        <u/>
        <sz val="11"/>
        <color rgb="FF000000"/>
        <rFont val="Aptos Narrow"/>
        <family val="2"/>
      </rPr>
      <t>2. Students_Payment_Details</t>
    </r>
    <r>
      <rPr>
        <sz val="11"/>
        <color rgb="FF000000"/>
        <rFont val="Aptos Narrow"/>
        <family val="2"/>
      </rPr>
      <t xml:space="preserve">
        - Gold   :  Building
        - Silver :  Building
</t>
    </r>
    <r>
      <rPr>
        <b/>
        <u/>
        <sz val="11"/>
        <color rgb="FF000000"/>
        <rFont val="Aptos Narrow"/>
        <family val="2"/>
      </rPr>
      <t>3. Daily_Expense_Details(Daily/Monthly/Yearly)</t>
    </r>
    <r>
      <rPr>
        <sz val="11"/>
        <color rgb="FF000000"/>
        <rFont val="Aptos Narrow"/>
        <family val="2"/>
      </rPr>
      <t xml:space="preserve">
        - Grocery/Food Expense :
        - Other Expense:
</t>
    </r>
    <r>
      <rPr>
        <b/>
        <u/>
        <sz val="11"/>
        <color rgb="FF000000"/>
        <rFont val="Aptos Narrow"/>
        <family val="2"/>
      </rPr>
      <t>4. Workers_Monthly_Salaries</t>
    </r>
    <r>
      <rPr>
        <u/>
        <sz val="11"/>
        <color rgb="FF000000"/>
        <rFont val="Aptos Narrow"/>
        <family val="2"/>
      </rPr>
      <t xml:space="preserve">
</t>
    </r>
    <r>
      <rPr>
        <sz val="11"/>
        <color rgb="FF000000"/>
        <rFont val="Aptos Narrow"/>
        <family val="2"/>
      </rPr>
      <t xml:space="preserve">
</t>
    </r>
    <r>
      <rPr>
        <b/>
        <u/>
        <sz val="11"/>
        <color rgb="FF000000"/>
        <rFont val="Aptos Narrow"/>
        <family val="2"/>
      </rPr>
      <t>5. Workers_Contact_Details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</si>
</sst>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mm-yyyy"/>
    <numFmt numFmtId="165" formatCode="d-m"/>
  </numFmts>
  <fonts count="15" x14ac:knownFonts="1">
    <font>
      <sz val="11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b/>
      <u/>
      <sz val="11"/>
      <color rgb="FF000000"/>
      <name val="Aptos Narrow"/>
      <family val="2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0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f1ab83"/>
      </patternFill>
    </fill>
    <fill>
      <patternFill patternType="solid">
        <fgColor rgb="FF45d65a"/>
      </patternFill>
    </fill>
    <fill>
      <patternFill patternType="solid">
        <fgColor rgb="FFfae3d6"/>
      </patternFill>
    </fill>
    <fill>
      <patternFill patternType="solid">
        <fgColor rgb="FF1155cc"/>
      </patternFill>
    </fill>
    <fill>
      <patternFill patternType="solid">
        <fgColor rgb="FFc27ba0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ffff"/>
      </patternFill>
    </fill>
    <fill>
      <patternFill patternType="solid">
        <fgColor rgb="FF00ff00"/>
      </patternFill>
    </fill>
    <fill>
      <patternFill patternType="solid">
        <fgColor rgb="FFc5c5c5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2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1" applyBorder="1" fontId="2" applyFont="1" fillId="0" applyAlignment="1">
      <alignment horizontal="center"/>
    </xf>
    <xf xfId="0" numFmtId="0" borderId="2" applyBorder="1" fontId="3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3" applyNumberFormat="1" borderId="1" applyBorder="1" fontId="3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" applyNumberFormat="1" borderId="1" applyBorder="1" fontId="2" applyFont="1" fillId="3" applyFill="1" applyAlignment="1">
      <alignment horizontal="left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3" applyNumberFormat="1" borderId="4" applyBorder="1" fontId="3" applyFont="1" fillId="0" applyAlignment="1">
      <alignment horizontal="left"/>
    </xf>
    <xf xfId="0" numFmtId="0" borderId="5" applyBorder="1" fontId="3" applyFont="1" fillId="4" applyFill="1" applyAlignment="1">
      <alignment horizontal="left"/>
    </xf>
    <xf xfId="0" numFmtId="4" applyNumberFormat="1" borderId="3" applyBorder="1" fontId="3" applyFont="1" fillId="0" applyAlignment="1">
      <alignment horizontal="left"/>
    </xf>
    <xf xfId="0" numFmtId="0" borderId="6" applyBorder="1" fontId="3" applyFont="1" fillId="4" applyFill="1" applyAlignment="1">
      <alignment horizontal="left"/>
    </xf>
    <xf xfId="0" numFmtId="3" applyNumberFormat="1" borderId="5" applyBorder="1" fontId="3" applyFont="1" fillId="4" applyFill="1" applyAlignment="1">
      <alignment horizontal="left"/>
    </xf>
    <xf xfId="0" numFmtId="1" applyNumberFormat="1" borderId="7" applyBorder="1" fontId="4" applyFont="1" fillId="2" applyFill="1" applyAlignment="1">
      <alignment horizontal="center"/>
    </xf>
    <xf xfId="0" numFmtId="4" applyNumberFormat="1" borderId="7" applyBorder="1" fontId="4" applyFont="1" fillId="2" applyFill="1" applyAlignment="1">
      <alignment horizontal="center"/>
    </xf>
    <xf xfId="0" numFmtId="3" applyNumberFormat="1" borderId="7" applyBorder="1" fontId="4" applyFont="1" fillId="2" applyFill="1" applyAlignment="1">
      <alignment horizontal="center"/>
    </xf>
    <xf xfId="0" numFmtId="3" applyNumberFormat="1" borderId="8" applyBorder="1" fontId="4" applyFont="1" fillId="2" applyFill="1" applyAlignment="1">
      <alignment horizontal="center"/>
    </xf>
    <xf xfId="0" numFmtId="0" borderId="9" applyBorder="1" fontId="4" applyFont="1" fillId="2" applyFill="1" applyAlignment="1">
      <alignment horizontal="center"/>
    </xf>
    <xf xfId="0" numFmtId="3" applyNumberFormat="1" borderId="9" applyBorder="1" fontId="4" applyFont="1" fillId="2" applyFill="1" applyAlignment="1">
      <alignment horizontal="center"/>
    </xf>
    <xf xfId="0" numFmtId="3" applyNumberFormat="1" borderId="1" applyBorder="1" fontId="4" applyFont="1" fillId="2" applyFill="1" applyAlignment="1">
      <alignment horizontal="center"/>
    </xf>
    <xf xfId="0" numFmtId="1" applyNumberFormat="1" borderId="1" applyBorder="1" fontId="4" applyFont="1" fillId="2" applyFill="1" applyAlignment="1">
      <alignment horizontal="center"/>
    </xf>
    <xf xfId="0" numFmtId="4" applyNumberFormat="1" borderId="10" applyBorder="1" fontId="4" applyFont="1" fillId="2" applyFill="1" applyAlignment="1">
      <alignment horizontal="center"/>
    </xf>
    <xf xfId="0" numFmtId="4" applyNumberFormat="1" borderId="11" applyBorder="1" fontId="4" applyFont="1" fillId="2" applyFill="1" applyAlignment="1">
      <alignment horizontal="center"/>
    </xf>
    <xf xfId="0" numFmtId="3" applyNumberFormat="1" borderId="12" applyBorder="1" fontId="4" applyFont="1" fillId="2" applyFill="1" applyAlignment="1">
      <alignment horizontal="center"/>
    </xf>
    <xf xfId="0" numFmtId="16" applyNumberFormat="1" borderId="1" applyBorder="1" fontId="3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0" borderId="13" applyBorder="1" fontId="3" applyFont="1" fillId="4" applyFill="1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16" applyNumberFormat="1" borderId="14" applyBorder="1" fontId="3" applyFont="1" fillId="0" applyAlignment="1">
      <alignment horizontal="center"/>
    </xf>
    <xf xfId="0" numFmtId="0" borderId="5" applyBorder="1" fontId="3" applyFont="1" fillId="4" applyFill="1" applyAlignment="1">
      <alignment horizontal="center"/>
    </xf>
    <xf xfId="0" numFmtId="3" applyNumberFormat="1" borderId="5" applyBorder="1" fontId="3" applyFont="1" fillId="4" applyFill="1" applyAlignment="1">
      <alignment horizontal="center"/>
    </xf>
    <xf xfId="0" numFmtId="4" applyNumberFormat="1" borderId="3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left"/>
    </xf>
    <xf xfId="0" numFmtId="3" applyNumberFormat="1" borderId="15" applyBorder="1" fontId="3" applyFont="1" fillId="0" applyAlignment="1">
      <alignment horizontal="center"/>
    </xf>
    <xf xfId="0" numFmtId="3" applyNumberFormat="1" borderId="16" applyBorder="1" fontId="3" applyFont="1" fillId="0" applyAlignment="1">
      <alignment horizontal="center"/>
    </xf>
    <xf xfId="0" numFmtId="16" applyNumberFormat="1" borderId="15" applyBorder="1" fontId="3" applyFont="1" fillId="0" applyAlignment="1">
      <alignment horizontal="center"/>
    </xf>
    <xf xfId="0" numFmtId="4" applyNumberFormat="1" borderId="15" applyBorder="1" fontId="3" applyFont="1" fillId="0" applyAlignment="1">
      <alignment horizontal="center"/>
    </xf>
    <xf xfId="0" numFmtId="4" applyNumberFormat="1" borderId="15" applyBorder="1" fontId="3" applyFont="1" fillId="0" applyAlignment="1">
      <alignment horizontal="left"/>
    </xf>
    <xf xfId="0" numFmtId="3" applyNumberFormat="1" borderId="15" applyBorder="1" fontId="3" applyFont="1" fillId="0" applyAlignment="1">
      <alignment horizontal="left"/>
    </xf>
    <xf xfId="0" numFmtId="1" applyNumberFormat="1" borderId="4" applyBorder="1" fontId="3" applyFont="1" fillId="0" applyAlignment="1">
      <alignment horizontal="center"/>
    </xf>
    <xf xfId="0" numFmtId="0" borderId="5" applyBorder="1" fontId="2" applyFont="1" fillId="4" applyFill="1" applyAlignment="1">
      <alignment horizontal="center"/>
    </xf>
    <xf xfId="0" numFmtId="1" applyNumberFormat="1" borderId="1" applyBorder="1" fontId="3" applyFont="1" fillId="0" applyAlignment="1">
      <alignment horizontal="left"/>
    </xf>
    <xf xfId="0" numFmtId="1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3" applyNumberFormat="1" borderId="5" applyBorder="1" fontId="2" applyFont="1" fillId="4" applyFill="1" applyAlignment="1">
      <alignment horizontal="center"/>
    </xf>
    <xf xfId="0" numFmtId="3" applyNumberFormat="1" borderId="14" applyBorder="1" fontId="2" applyFont="1" fillId="0" applyAlignment="1">
      <alignment horizontal="center"/>
    </xf>
    <xf xfId="0" numFmtId="3" applyNumberFormat="1" borderId="17" applyBorder="1" fontId="2" applyFont="1" fillId="0" applyAlignment="1">
      <alignment horizontal="center"/>
    </xf>
    <xf xfId="0" numFmtId="4" applyNumberFormat="1" borderId="4" applyBorder="1" fontId="3" applyFont="1" fillId="0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1" applyNumberFormat="1" borderId="14" applyBorder="1" fontId="2" applyFont="1" fillId="0" applyAlignment="1">
      <alignment horizontal="center"/>
    </xf>
    <xf xfId="0" numFmtId="0" borderId="18" applyBorder="1" fontId="3" applyFont="1" fillId="4" applyFill="1" applyAlignment="1">
      <alignment horizontal="center"/>
    </xf>
    <xf xfId="0" numFmtId="1" applyNumberFormat="1" borderId="1" applyBorder="1" fontId="3" applyFont="1" fillId="0" applyAlignment="1">
      <alignment horizontal="center"/>
    </xf>
    <xf xfId="0" numFmtId="3" applyNumberFormat="1" borderId="17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right"/>
    </xf>
    <xf xfId="0" numFmtId="0" borderId="13" applyBorder="1" fontId="3" applyFont="1" fillId="4" applyFill="1" applyAlignment="1">
      <alignment horizontal="left"/>
    </xf>
    <xf xfId="0" numFmtId="1" applyNumberFormat="1" borderId="2" applyBorder="1" fontId="3" applyFont="1" fillId="0" applyAlignment="1">
      <alignment horizontal="center"/>
    </xf>
    <xf xfId="0" numFmtId="4" applyNumberFormat="1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1" applyNumberFormat="1" borderId="0" fontId="0" fillId="0" applyAlignment="1">
      <alignment horizontal="general"/>
    </xf>
    <xf xfId="0" numFmtId="1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" applyNumberFormat="1" borderId="7" applyBorder="1" fontId="2" applyFont="1" fillId="2" applyFill="1" applyAlignment="1">
      <alignment horizontal="center"/>
    </xf>
    <xf xfId="0" numFmtId="0" borderId="7" applyBorder="1" fontId="2" applyFont="1" fillId="2" applyFill="1" applyAlignment="1">
      <alignment horizontal="center"/>
    </xf>
    <xf xfId="0" numFmtId="3" applyNumberFormat="1" borderId="7" applyBorder="1" fontId="2" applyFont="1" fillId="2" applyFill="1" applyAlignment="1">
      <alignment horizontal="center"/>
    </xf>
    <xf xfId="0" numFmtId="0" borderId="9" applyBorder="1" fontId="2" applyFont="1" fillId="2" applyFill="1" applyAlignment="1">
      <alignment horizontal="center"/>
    </xf>
    <xf xfId="0" numFmtId="3" applyNumberFormat="1" borderId="9" applyBorder="1" fontId="2" applyFont="1" fillId="2" applyFill="1" applyAlignment="1">
      <alignment horizontal="center"/>
    </xf>
    <xf xfId="0" numFmtId="3" applyNumberFormat="1" borderId="5" applyBorder="1" fontId="2" applyFont="1" fillId="2" applyFill="1" applyAlignment="1">
      <alignment horizontal="center"/>
    </xf>
    <xf xfId="0" numFmtId="0" borderId="4" applyBorder="1" fontId="3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6" applyNumberFormat="1" borderId="1" applyBorder="1" fontId="2" applyFont="1" fillId="0" applyAlignment="1">
      <alignment horizontal="center"/>
    </xf>
    <xf xfId="0" numFmtId="3" applyNumberFormat="1" borderId="3" applyBorder="1" fontId="3" applyFont="1" fillId="0" applyAlignment="1">
      <alignment horizontal="center"/>
    </xf>
    <xf xfId="0" numFmtId="0" borderId="15" applyBorder="1" fontId="3" applyFont="1" fillId="0" applyAlignment="1">
      <alignment horizontal="center"/>
    </xf>
    <xf xfId="0" numFmtId="0" borderId="16" applyBorder="1" fontId="3" applyFont="1" fillId="0" applyAlignment="1">
      <alignment horizontal="center"/>
    </xf>
    <xf xfId="0" numFmtId="3" applyNumberFormat="1" borderId="19" applyBorder="1" fontId="3" applyFont="1" fillId="0" applyAlignment="1">
      <alignment horizontal="center"/>
    </xf>
    <xf xfId="0" numFmtId="0" borderId="4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left"/>
    </xf>
    <xf xfId="0" numFmtId="3" applyNumberFormat="1" borderId="7" applyBorder="1" fontId="5" applyFont="1" fillId="5" applyFill="1" applyAlignment="1">
      <alignment horizontal="left"/>
    </xf>
    <xf xfId="0" numFmtId="3" applyNumberFormat="1" borderId="20" applyBorder="1" fontId="6" applyFont="1" fillId="6" applyFill="1" applyAlignment="1">
      <alignment horizontal="center"/>
    </xf>
    <xf xfId="0" numFmtId="0" borderId="20" applyBorder="1" fontId="6" applyFont="1" fillId="6" applyFill="1" applyAlignment="1">
      <alignment horizontal="left"/>
    </xf>
    <xf xfId="0" numFmtId="0" borderId="20" applyBorder="1" fontId="6" applyFont="1" fillId="6" applyFill="1" applyAlignment="1">
      <alignment horizontal="center"/>
    </xf>
    <xf xfId="0" numFmtId="164" applyNumberFormat="1" borderId="20" applyBorder="1" fontId="6" applyFont="1" fillId="6" applyFill="1" applyAlignment="1">
      <alignment horizontal="center"/>
    </xf>
    <xf xfId="0" numFmtId="3" applyNumberFormat="1" borderId="7" applyBorder="1" fontId="6" applyFont="1" fillId="7" applyFill="1" applyAlignment="1">
      <alignment horizontal="left"/>
    </xf>
    <xf xfId="0" numFmtId="3" applyNumberFormat="1" borderId="10" applyBorder="1" fontId="7" applyFont="1" fillId="7" applyFill="1" applyAlignment="1">
      <alignment horizontal="left"/>
    </xf>
    <xf xfId="0" numFmtId="3" applyNumberFormat="1" borderId="1" applyBorder="1" fontId="8" applyFont="1" fillId="7" applyFill="1" applyAlignment="1">
      <alignment horizontal="left"/>
    </xf>
    <xf xfId="0" numFmtId="0" borderId="10" applyBorder="1" fontId="8" applyFont="1" fillId="7" applyFill="1" applyAlignment="1">
      <alignment horizontal="left"/>
    </xf>
    <xf xfId="0" numFmtId="3" applyNumberFormat="1" borderId="10" applyBorder="1" fontId="8" applyFont="1" fillId="7" applyFill="1" applyAlignment="1">
      <alignment horizontal="left"/>
    </xf>
    <xf xfId="0" numFmtId="0" borderId="1" applyBorder="1" fontId="9" applyFont="1" fillId="0" applyAlignment="1">
      <alignment horizontal="left"/>
    </xf>
    <xf xfId="0" numFmtId="3" applyNumberFormat="1" borderId="14" applyBorder="1" fontId="10" applyFont="1" fillId="0" applyAlignment="1">
      <alignment horizontal="right"/>
    </xf>
    <xf xfId="0" numFmtId="3" applyNumberFormat="1" borderId="14" applyBorder="1" fontId="10" applyFont="1" fillId="0" applyAlignment="1">
      <alignment horizontal="left"/>
    </xf>
    <xf xfId="0" numFmtId="3" applyNumberFormat="1" borderId="1" applyBorder="1" fontId="11" applyFont="1" fillId="0" applyAlignment="1">
      <alignment horizontal="left"/>
    </xf>
    <xf xfId="0" numFmtId="0" borderId="21" applyBorder="1" fontId="11" applyFont="1" fillId="0" applyAlignment="1">
      <alignment horizontal="right"/>
    </xf>
    <xf xfId="0" numFmtId="3" applyNumberFormat="1" borderId="21" applyBorder="1" fontId="12" applyFont="1" fillId="0" applyAlignment="1">
      <alignment horizontal="right"/>
    </xf>
    <xf xfId="0" numFmtId="0" borderId="21" applyBorder="1" fontId="8" applyFont="1" fillId="0" applyAlignment="1">
      <alignment horizontal="left"/>
    </xf>
    <xf xfId="0" numFmtId="3" applyNumberFormat="1" borderId="21" applyBorder="1" fontId="8" applyFont="1" fillId="0" applyAlignment="1">
      <alignment horizontal="left"/>
    </xf>
    <xf xfId="0" numFmtId="3" applyNumberFormat="1" borderId="1" applyBorder="1" fontId="3" applyFont="1" fillId="2" applyFill="1" applyAlignment="1">
      <alignment horizontal="center"/>
    </xf>
    <xf xfId="0" numFmtId="3" applyNumberFormat="1" borderId="10" applyBorder="1" fontId="10" applyFont="1" fillId="8" applyFill="1" applyAlignment="1">
      <alignment horizontal="left"/>
    </xf>
    <xf xfId="0" numFmtId="3" applyNumberFormat="1" borderId="7" applyBorder="1" fontId="10" applyFont="1" fillId="9" applyFill="1" applyAlignment="1">
      <alignment horizontal="right"/>
    </xf>
    <xf xfId="0" numFmtId="3" applyNumberFormat="1" borderId="10" applyBorder="1" fontId="10" applyFont="1" fillId="9" applyFill="1" applyAlignment="1">
      <alignment horizontal="left"/>
    </xf>
    <xf xfId="0" numFmtId="3" applyNumberFormat="1" borderId="1" applyBorder="1" fontId="11" applyFont="1" fillId="9" applyFill="1" applyAlignment="1">
      <alignment horizontal="left"/>
    </xf>
    <xf xfId="0" numFmtId="0" borderId="10" applyBorder="1" fontId="8" applyFont="1" fillId="9" applyFill="1" applyAlignment="1">
      <alignment horizontal="left"/>
    </xf>
    <xf xfId="0" numFmtId="3" applyNumberFormat="1" borderId="10" applyBorder="1" fontId="8" applyFont="1" fillId="9" applyFill="1" applyAlignment="1">
      <alignment horizontal="left"/>
    </xf>
    <xf xfId="0" numFmtId="3" applyNumberFormat="1" borderId="10" applyBorder="1" fontId="12" applyFont="1" fillId="9" applyFill="1" applyAlignment="1">
      <alignment horizontal="right"/>
    </xf>
    <xf xfId="0" numFmtId="3" applyNumberFormat="1" borderId="7" applyBorder="1" fontId="10" applyFont="1" fillId="8" applyFill="1" applyAlignment="1">
      <alignment horizontal="right"/>
    </xf>
    <xf xfId="0" numFmtId="3" applyNumberFormat="1" borderId="10" applyBorder="1" fontId="10" applyFont="1" fillId="10" applyFill="1" applyAlignment="1">
      <alignment horizontal="left"/>
    </xf>
    <xf xfId="0" numFmtId="3" applyNumberFormat="1" borderId="2" applyBorder="1" fontId="9" applyFont="1" fillId="0" applyAlignment="1">
      <alignment horizontal="left"/>
    </xf>
    <xf xfId="0" numFmtId="0" borderId="1" applyBorder="1" fontId="8" applyFont="1" fillId="8" applyFill="1" applyAlignment="1">
      <alignment horizontal="left"/>
    </xf>
    <xf xfId="0" numFmtId="3" applyNumberFormat="1" borderId="10" applyBorder="1" fontId="8" applyFont="1" fillId="8" applyFill="1" applyAlignment="1">
      <alignment horizontal="left"/>
    </xf>
    <xf xfId="0" numFmtId="0" borderId="10" applyBorder="1" fontId="8" applyFont="1" fillId="8" applyFill="1" applyAlignment="1">
      <alignment horizontal="left"/>
    </xf>
    <xf xfId="0" numFmtId="3" applyNumberFormat="1" borderId="10" applyBorder="1" fontId="12" applyFont="1" fillId="8" applyFill="1" applyAlignment="1">
      <alignment horizontal="right"/>
    </xf>
    <xf xfId="0" numFmtId="3" applyNumberFormat="1" borderId="1" applyBorder="1" fontId="8" applyFont="1" fillId="0" applyAlignment="1">
      <alignment horizontal="left"/>
    </xf>
    <xf xfId="0" numFmtId="0" borderId="15" applyBorder="1" fontId="9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3" applyNumberFormat="1" borderId="22" applyBorder="1" fontId="8" applyFont="1" fillId="0" applyAlignment="1">
      <alignment horizontal="left"/>
    </xf>
    <xf xfId="0" numFmtId="3" applyNumberFormat="1" borderId="7" applyBorder="1" fontId="10" applyFont="1" fillId="9" applyFill="1" applyAlignment="1">
      <alignment horizontal="left"/>
    </xf>
    <xf xfId="0" numFmtId="0" borderId="10" applyBorder="1" fontId="12" applyFont="1" fillId="9" applyFill="1" applyAlignment="1">
      <alignment horizontal="right"/>
    </xf>
    <xf xfId="0" numFmtId="3" applyNumberFormat="1" borderId="1" applyBorder="1" fontId="12" applyFont="1" fillId="0" applyAlignment="1">
      <alignment horizontal="right"/>
    </xf>
    <xf xfId="0" numFmtId="0" borderId="10" applyBorder="1" fontId="11" applyFont="1" fillId="8" applyFill="1" applyAlignment="1">
      <alignment horizontal="right"/>
    </xf>
    <xf xfId="0" numFmtId="3" applyNumberFormat="1" borderId="18" applyBorder="1" fontId="8" applyFont="1" fillId="8" applyFill="1" applyAlignment="1">
      <alignment horizontal="left"/>
    </xf>
    <xf xfId="0" numFmtId="0" borderId="1" applyBorder="1" fontId="9" applyFont="1" fillId="8" applyFill="1" applyAlignment="1">
      <alignment horizontal="left"/>
    </xf>
    <xf xfId="0" numFmtId="3" applyNumberFormat="1" borderId="21" applyBorder="1" fontId="10" applyFont="1" fillId="0" applyAlignment="1">
      <alignment horizontal="left"/>
    </xf>
    <xf xfId="0" numFmtId="0" borderId="21" applyBorder="1" fontId="12" applyFont="1" fillId="0" applyAlignment="1">
      <alignment horizontal="right"/>
    </xf>
    <xf xfId="0" numFmtId="3" applyNumberFormat="1" borderId="1" applyBorder="1" fontId="9" applyFont="1" fillId="0" applyAlignment="1">
      <alignment horizontal="left"/>
    </xf>
    <xf xfId="0" numFmtId="3" applyNumberFormat="1" borderId="1" applyBorder="1" fontId="8" applyFont="1" fillId="8" applyFill="1" applyAlignment="1">
      <alignment horizontal="left"/>
    </xf>
    <xf xfId="0" numFmtId="3" applyNumberFormat="1" borderId="18" applyBorder="1" fontId="8" applyFont="1" fillId="7" applyFill="1" applyAlignment="1">
      <alignment horizontal="left"/>
    </xf>
    <xf xfId="0" numFmtId="3" applyNumberFormat="1" borderId="1" applyBorder="1" fontId="10" applyFont="1" fillId="0" applyAlignment="1">
      <alignment horizontal="right"/>
    </xf>
    <xf xfId="0" numFmtId="3" applyNumberFormat="1" borderId="10" applyBorder="1" fontId="12" applyFont="1" fillId="3" applyFill="1" applyAlignment="1">
      <alignment horizontal="right"/>
    </xf>
    <xf xfId="0" numFmtId="0" borderId="10" applyBorder="1" fontId="8" applyFont="1" fillId="3" applyFill="1" applyAlignment="1">
      <alignment horizontal="left"/>
    </xf>
    <xf xfId="0" numFmtId="3" applyNumberFormat="1" borderId="10" applyBorder="1" fontId="8" applyFont="1" fillId="3" applyFill="1" applyAlignment="1">
      <alignment horizontal="left"/>
    </xf>
    <xf xfId="0" numFmtId="3" applyNumberFormat="1" borderId="18" applyBorder="1" fontId="8" applyFont="1" fillId="3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1" applyBorder="1" fontId="11" applyFont="1" fillId="8" applyFill="1" applyAlignment="1">
      <alignment horizontal="left"/>
    </xf>
    <xf xfId="0" numFmtId="0" borderId="14" applyBorder="1" fontId="9" applyFont="1" fillId="0" applyAlignment="1">
      <alignment horizontal="left"/>
    </xf>
    <xf xfId="0" numFmtId="3" applyNumberFormat="1" borderId="2" applyBorder="1" fontId="9" applyFont="1" fillId="0" applyAlignment="1">
      <alignment horizontal="right"/>
    </xf>
    <xf xfId="0" numFmtId="0" borderId="10" applyBorder="1" fontId="12" applyFont="1" fillId="8" applyFill="1" applyAlignment="1">
      <alignment horizontal="right"/>
    </xf>
    <xf xfId="0" numFmtId="0" borderId="10" applyBorder="1" fontId="12" applyFont="1" fillId="8" applyFill="1" applyAlignment="1">
      <alignment horizontal="left"/>
    </xf>
    <xf xfId="0" numFmtId="3" applyNumberFormat="1" borderId="10" applyBorder="1" fontId="12" applyFont="1" fillId="8" applyFill="1" applyAlignment="1">
      <alignment horizontal="left"/>
    </xf>
    <xf xfId="0" numFmtId="3" applyNumberFormat="1" borderId="7" applyBorder="1" fontId="10" applyFont="1" fillId="8" applyFill="1" applyAlignment="1">
      <alignment horizontal="left"/>
    </xf>
    <xf xfId="0" numFmtId="3" applyNumberFormat="1" borderId="10" applyBorder="1" fontId="10" applyFont="1" fillId="8" applyFill="1" applyAlignment="1">
      <alignment horizontal="right"/>
    </xf>
    <xf xfId="0" numFmtId="3" applyNumberFormat="1" borderId="10" applyBorder="1" fontId="10" applyFont="1" fillId="9" applyFill="1" applyAlignment="1">
      <alignment horizontal="right"/>
    </xf>
    <xf xfId="0" numFmtId="3" applyNumberFormat="1" borderId="1" applyBorder="1" fontId="12" applyFont="1" fillId="9" applyFill="1" applyAlignment="1">
      <alignment horizontal="left"/>
    </xf>
    <xf xfId="0" numFmtId="0" borderId="10" applyBorder="1" fontId="12" applyFont="1" fillId="9" applyFill="1" applyAlignment="1">
      <alignment horizontal="left"/>
    </xf>
    <xf xfId="0" numFmtId="3" applyNumberFormat="1" borderId="10" applyBorder="1" fontId="12" applyFont="1" fillId="9" applyFill="1" applyAlignment="1">
      <alignment horizontal="left"/>
    </xf>
    <xf xfId="0" numFmtId="3" applyNumberFormat="1" borderId="1" applyBorder="1" fontId="12" applyFont="1" fillId="8" applyFill="1" applyAlignment="1">
      <alignment horizontal="left"/>
    </xf>
    <xf xfId="0" numFmtId="3" applyNumberFormat="1" borderId="1" applyBorder="1" fontId="6" applyFont="1" fillId="7" applyFill="1" applyAlignment="1">
      <alignment horizontal="left"/>
    </xf>
    <xf xfId="0" numFmtId="3" applyNumberFormat="1" borderId="1" applyBorder="1" fontId="10" applyFont="1" fillId="8" applyFill="1" applyAlignment="1">
      <alignment horizontal="right"/>
    </xf>
    <xf xfId="0" numFmtId="3" applyNumberFormat="1" borderId="20" applyBorder="1" fontId="3" applyFont="1" fillId="3" applyFill="1" applyAlignment="1">
      <alignment horizontal="center"/>
    </xf>
    <xf xfId="0" numFmtId="0" borderId="10" applyBorder="1" fontId="12" applyFont="1" fillId="3" applyFill="1" applyAlignment="1">
      <alignment horizontal="left"/>
    </xf>
    <xf xfId="0" numFmtId="3" applyNumberFormat="1" borderId="10" applyBorder="1" fontId="12" applyFont="1" fillId="3" applyFill="1" applyAlignment="1">
      <alignment horizontal="left"/>
    </xf>
    <xf xfId="0" numFmtId="3" applyNumberFormat="1" borderId="1" applyBorder="1" fontId="9" applyFont="1" fillId="3" applyFill="1" applyAlignment="1">
      <alignment horizontal="left"/>
    </xf>
    <xf xfId="0" numFmtId="3" applyNumberFormat="1" borderId="12" applyBorder="1" fontId="7" applyFont="1" fillId="11" applyFill="1" applyAlignment="1">
      <alignment horizontal="left"/>
    </xf>
    <xf xfId="0" numFmtId="3" applyNumberFormat="1" borderId="11" applyBorder="1" fontId="7" applyFont="1" fillId="11" applyFill="1" applyAlignment="1">
      <alignment horizontal="left"/>
    </xf>
    <xf xfId="0" numFmtId="3" applyNumberFormat="1" borderId="23" applyBorder="1" fontId="7" applyFont="1" fillId="11" applyFill="1" applyAlignment="1">
      <alignment horizontal="right"/>
    </xf>
    <xf xfId="0" numFmtId="0" borderId="11" applyBorder="1" fontId="8" applyFont="1" fillId="11" applyFill="1" applyAlignment="1">
      <alignment horizontal="left"/>
    </xf>
    <xf xfId="0" numFmtId="3" applyNumberFormat="1" borderId="11" applyBorder="1" fontId="7" applyFont="1" fillId="11" applyFill="1" applyAlignment="1">
      <alignment horizontal="right"/>
    </xf>
    <xf xfId="0" numFmtId="3" applyNumberFormat="1" borderId="4" applyBorder="1" fontId="9" applyFont="1" fillId="0" applyAlignment="1">
      <alignment horizontal="left"/>
    </xf>
    <xf xfId="0" numFmtId="0" borderId="2" applyBorder="1" fontId="9" applyFont="1" fillId="0" applyAlignment="1">
      <alignment horizontal="left"/>
    </xf>
    <xf xfId="0" numFmtId="3" applyNumberFormat="1" borderId="1" applyBorder="1" fontId="5" applyFont="1" fillId="5" applyFill="1" applyAlignment="1">
      <alignment horizontal="center"/>
    </xf>
    <xf xfId="0" numFmtId="3" applyNumberFormat="1" borderId="7" applyBorder="1" fontId="13" applyFont="1" fillId="7" applyFill="1" applyAlignment="1">
      <alignment horizontal="left"/>
    </xf>
    <xf xfId="0" numFmtId="3" applyNumberFormat="1" borderId="10" applyBorder="1" fontId="13" applyFont="1" fillId="7" applyFill="1" applyAlignment="1">
      <alignment horizontal="left"/>
    </xf>
    <xf xfId="0" numFmtId="3" applyNumberFormat="1" borderId="7" applyBorder="1" fontId="10" applyFont="1" fillId="12" applyFill="1" applyAlignment="1">
      <alignment horizontal="right"/>
    </xf>
    <xf xfId="0" numFmtId="3" applyNumberFormat="1" borderId="10" applyBorder="1" fontId="10" applyFont="1" fillId="12" applyFill="1" applyAlignment="1">
      <alignment horizontal="left"/>
    </xf>
    <xf xfId="0" numFmtId="3" applyNumberFormat="1" borderId="1" applyBorder="1" fontId="12" applyFont="1" fillId="12" applyFill="1" applyAlignment="1">
      <alignment horizontal="left"/>
    </xf>
    <xf xfId="0" numFmtId="0" borderId="10" applyBorder="1" fontId="12" applyFont="1" fillId="12" applyFill="1" applyAlignment="1">
      <alignment horizontal="right"/>
    </xf>
    <xf xfId="0" numFmtId="3" applyNumberFormat="1" borderId="10" applyBorder="1" fontId="12" applyFont="1" fillId="12" applyFill="1" applyAlignment="1">
      <alignment horizontal="right"/>
    </xf>
    <xf xfId="0" numFmtId="0" borderId="10" applyBorder="1" fontId="8" applyFont="1" fillId="12" applyFill="1" applyAlignment="1">
      <alignment horizontal="left"/>
    </xf>
    <xf xfId="0" numFmtId="3" applyNumberFormat="1" borderId="10" applyBorder="1" fontId="8" applyFont="1" fillId="12" applyFill="1" applyAlignment="1">
      <alignment horizontal="left"/>
    </xf>
    <xf xfId="0" numFmtId="0" borderId="1" applyBorder="1" fontId="9" applyFont="1" fillId="12" applyFill="1" applyAlignment="1">
      <alignment horizontal="left"/>
    </xf>
    <xf xfId="0" numFmtId="165" applyNumberFormat="1" borderId="10" applyBorder="1" fontId="10" applyFont="1" fillId="9" applyFill="1" applyAlignment="1">
      <alignment horizontal="left"/>
    </xf>
    <xf xfId="0" numFmtId="0" borderId="11" applyBorder="1" fontId="12" applyFont="1" fillId="8" applyFill="1" applyAlignment="1">
      <alignment horizontal="left"/>
    </xf>
    <xf xfId="0" numFmtId="165" applyNumberFormat="1" borderId="21" applyBorder="1" fontId="10" applyFont="1" fillId="0" applyAlignment="1">
      <alignment horizontal="left"/>
    </xf>
    <xf xfId="0" numFmtId="3" applyNumberFormat="1" borderId="24" applyBorder="1" fontId="12" applyFont="1" fillId="8" applyFill="1" applyAlignment="1">
      <alignment horizontal="left"/>
    </xf>
    <xf xfId="0" numFmtId="3" applyNumberFormat="1" borderId="1" applyBorder="1" fontId="3" applyFont="1" fillId="8" applyFill="1" applyAlignment="1">
      <alignment horizontal="center"/>
    </xf>
    <xf xfId="0" numFmtId="165" applyNumberFormat="1" borderId="1" applyBorder="1" fontId="10" applyFont="1" fillId="0" applyAlignment="1">
      <alignment horizontal="left"/>
    </xf>
    <xf xfId="0" numFmtId="0" borderId="21" applyBorder="1" fontId="3" applyFont="1" fillId="0" applyAlignment="1">
      <alignment horizontal="center"/>
    </xf>
    <xf xfId="0" numFmtId="165" applyNumberFormat="1" borderId="10" applyBorder="1" fontId="10" applyFont="1" fillId="12" applyFill="1" applyAlignment="1">
      <alignment horizontal="left"/>
    </xf>
    <xf xfId="0" numFmtId="3" applyNumberFormat="1" borderId="11" applyBorder="1" fontId="12" applyFont="1" fillId="12" applyFill="1" applyAlignment="1">
      <alignment horizontal="right"/>
    </xf>
    <xf xfId="0" numFmtId="165" applyNumberFormat="1" borderId="10" applyBorder="1" fontId="10" applyFont="1" fillId="8" applyFill="1" applyAlignment="1">
      <alignment horizontal="left"/>
    </xf>
    <xf xfId="0" numFmtId="3" applyNumberFormat="1" borderId="1" applyBorder="1" fontId="9" applyFont="1" fillId="8" applyFill="1" applyAlignment="1">
      <alignment horizontal="left"/>
    </xf>
    <xf xfId="0" numFmtId="3" applyNumberFormat="1" borderId="11" applyBorder="1" fontId="12" applyFont="1" fillId="8" applyFill="1" applyAlignment="1">
      <alignment horizontal="right"/>
    </xf>
    <xf xfId="0" numFmtId="3" applyNumberFormat="1" borderId="22" applyBorder="1" fontId="12" applyFont="1" fillId="0" applyAlignment="1">
      <alignment horizontal="right"/>
    </xf>
    <xf xfId="0" numFmtId="165" applyNumberFormat="1" borderId="14" applyBorder="1" fontId="10" applyFont="1" fillId="0" applyAlignment="1">
      <alignment horizontal="left"/>
    </xf>
    <xf xfId="0" numFmtId="165" applyNumberFormat="1" borderId="1" applyBorder="1" fontId="10" applyFont="1" fillId="12" applyFill="1" applyAlignment="1">
      <alignment horizontal="left"/>
    </xf>
    <xf xfId="0" numFmtId="3" applyNumberFormat="1" borderId="18" applyBorder="1" fontId="12" applyFont="1" fillId="12" applyFill="1" applyAlignment="1">
      <alignment horizontal="right"/>
    </xf>
    <xf xfId="0" numFmtId="0" borderId="18" applyBorder="1" fontId="12" applyFont="1" fillId="12" applyFill="1" applyAlignment="1">
      <alignment horizontal="right"/>
    </xf>
    <xf xfId="0" numFmtId="3" applyNumberFormat="1" borderId="5" applyBorder="1" fontId="9" applyFont="1" fillId="12" applyFill="1" applyAlignment="1">
      <alignment horizontal="left"/>
    </xf>
    <xf xfId="0" numFmtId="165" applyNumberFormat="1" borderId="1" applyBorder="1" fontId="10" applyFont="1" fillId="8" applyFill="1" applyAlignment="1">
      <alignment horizontal="left"/>
    </xf>
    <xf xfId="0" numFmtId="3" applyNumberFormat="1" borderId="1" applyBorder="1" fontId="13" applyFont="1" fillId="7" applyFill="1" applyAlignment="1">
      <alignment horizontal="left"/>
    </xf>
    <xf xfId="0" numFmtId="0" borderId="10" applyBorder="1" fontId="13" applyFont="1" fillId="7" applyFill="1" applyAlignment="1">
      <alignment horizontal="left"/>
    </xf>
    <xf xfId="0" numFmtId="3" applyNumberFormat="1" borderId="1" applyBorder="1" fontId="10" applyFont="1" fillId="0" applyAlignment="1">
      <alignment horizontal="left"/>
    </xf>
    <xf xfId="0" numFmtId="3" applyNumberFormat="1" borderId="1" applyBorder="1" fontId="14" applyFont="1" fillId="8" applyFill="1" applyAlignment="1">
      <alignment horizontal="left"/>
    </xf>
    <xf xfId="0" numFmtId="3" applyNumberFormat="1" borderId="1" applyBorder="1" fontId="12" applyFont="1" fillId="8" applyFill="1" applyAlignment="1">
      <alignment horizontal="right"/>
    </xf>
    <xf xfId="0" numFmtId="3" applyNumberFormat="1" borderId="10" applyBorder="1" fontId="14" applyFont="1" fillId="12" applyFill="1" applyAlignment="1">
      <alignment horizontal="left"/>
    </xf>
    <xf xfId="0" numFmtId="3" applyNumberFormat="1" borderId="10" applyBorder="1" fontId="9" applyFont="1" fillId="12" applyFill="1" applyAlignment="1">
      <alignment horizontal="left"/>
    </xf>
    <xf xfId="0" numFmtId="0" borderId="5" applyBorder="1" fontId="9" applyFont="1" fillId="8" applyFill="1" applyAlignment="1">
      <alignment horizontal="left"/>
    </xf>
    <xf xfId="0" numFmtId="3" applyNumberFormat="1" borderId="1" applyBorder="1" fontId="11" applyFont="1" fillId="8" applyFill="1" applyAlignment="1">
      <alignment horizontal="left"/>
    </xf>
    <xf xfId="0" numFmtId="0" borderId="10" applyBorder="1" fontId="9" applyFont="1" fillId="12" applyFill="1" applyAlignment="1">
      <alignment horizontal="left"/>
    </xf>
    <xf xfId="0" numFmtId="0" borderId="10" applyBorder="1" fontId="11" applyFont="1" fillId="12" applyFill="1" applyAlignment="1">
      <alignment horizontal="left"/>
    </xf>
    <xf xfId="0" numFmtId="3" applyNumberFormat="1" borderId="10" applyBorder="1" fontId="11" applyFont="1" fillId="12" applyFill="1" applyAlignment="1">
      <alignment horizontal="left"/>
    </xf>
    <xf xfId="0" numFmtId="0" borderId="23" applyBorder="1" fontId="9" applyFont="1" fillId="8" applyFill="1" applyAlignment="1">
      <alignment horizontal="left"/>
    </xf>
    <xf xfId="0" numFmtId="3" applyNumberFormat="1" borderId="21" applyBorder="1" fontId="9" applyFont="1" fillId="0" applyAlignment="1">
      <alignment horizontal="left"/>
    </xf>
    <xf xfId="0" numFmtId="3" applyNumberFormat="1" borderId="7" applyBorder="1" fontId="8" applyFont="1" fillId="11" applyFill="1" applyAlignment="1">
      <alignment horizontal="left"/>
    </xf>
    <xf xfId="0" numFmtId="3" applyNumberFormat="1" borderId="10" applyBorder="1" fontId="8" applyFont="1" fillId="11" applyFill="1" applyAlignment="1">
      <alignment horizontal="left"/>
    </xf>
    <xf xfId="0" numFmtId="3" applyNumberFormat="1" borderId="1" applyBorder="1" fontId="7" applyFont="1" fillId="11" applyFill="1" applyAlignment="1">
      <alignment horizontal="right"/>
    </xf>
    <xf xfId="0" numFmtId="0" borderId="10" applyBorder="1" fontId="8" applyFont="1" fillId="11" applyFill="1" applyAlignment="1">
      <alignment horizontal="left"/>
    </xf>
    <xf xfId="0" numFmtId="3" applyNumberFormat="1" borderId="10" applyBorder="1" fontId="7" applyFont="1" fillId="11" applyFill="1" applyAlignment="1">
      <alignment horizontal="right"/>
    </xf>
    <xf xfId="0" numFmtId="3" applyNumberFormat="1" borderId="23" applyBorder="1" fontId="9" applyFont="1" fillId="8" applyFill="1" applyAlignment="1">
      <alignment horizontal="left"/>
    </xf>
    <xf xfId="0" numFmtId="1" applyNumberFormat="1" borderId="20" applyBorder="1" fontId="6" applyFont="1" fillId="6" applyFill="1" applyAlignment="1">
      <alignment horizontal="center"/>
    </xf>
    <xf xfId="0" numFmtId="1" applyNumberFormat="1" borderId="10" applyBorder="1" fontId="8" applyFont="1" fillId="7" applyFill="1" applyAlignment="1">
      <alignment horizontal="left"/>
    </xf>
    <xf xfId="0" numFmtId="3" applyNumberFormat="1" borderId="10" applyBorder="1" fontId="12" applyFont="1" fillId="8" applyFill="1" applyAlignment="1">
      <alignment horizontal="center"/>
    </xf>
    <xf xfId="0" numFmtId="15" applyNumberFormat="1" borderId="10" applyBorder="1" fontId="12" applyFont="1" fillId="8" applyFill="1" applyAlignment="1">
      <alignment horizontal="center"/>
    </xf>
    <xf xfId="0" numFmtId="0" borderId="10" applyBorder="1" fontId="12" applyFont="1" fillId="8" applyFill="1" applyAlignment="1">
      <alignment horizontal="center"/>
    </xf>
    <xf xfId="0" numFmtId="3" applyNumberFormat="1" borderId="21" applyBorder="1" fontId="3" applyFont="1" fillId="0" applyAlignment="1">
      <alignment horizontal="center"/>
    </xf>
    <xf xfId="0" numFmtId="1" applyNumberFormat="1" borderId="21" applyBorder="1" fontId="3" applyFont="1" fillId="0" applyAlignment="1">
      <alignment horizontal="center"/>
    </xf>
    <xf xfId="0" numFmtId="3" applyNumberFormat="1" borderId="11" applyBorder="1" fontId="11" applyFont="1" fillId="9" applyFill="1" applyAlignment="1">
      <alignment horizontal="left"/>
    </xf>
    <xf xfId="0" numFmtId="1" applyNumberFormat="1" borderId="11" applyBorder="1" fontId="11" applyFont="1" fillId="9" applyFill="1" applyAlignment="1">
      <alignment horizontal="left"/>
    </xf>
    <xf xfId="0" numFmtId="0" borderId="11" applyBorder="1" fontId="11" applyFont="1" fillId="9" applyFill="1" applyAlignment="1">
      <alignment horizontal="left"/>
    </xf>
    <xf xfId="0" numFmtId="0" borderId="11" applyBorder="1" fontId="8" applyFont="1" fillId="9" applyFill="1" applyAlignment="1">
      <alignment horizontal="left"/>
    </xf>
    <xf xfId="0" numFmtId="3" applyNumberFormat="1" borderId="11" applyBorder="1" fontId="8" applyFont="1" fillId="9" applyFill="1" applyAlignment="1">
      <alignment horizontal="left"/>
    </xf>
    <xf xfId="0" numFmtId="3" applyNumberFormat="1" borderId="1" applyBorder="1" fontId="9" applyFont="1" fillId="0" applyAlignment="1">
      <alignment horizontal="center"/>
    </xf>
    <xf xfId="0" numFmtId="1" applyNumberFormat="1" borderId="1" applyBorder="1" fontId="9" applyFont="1" fillId="0" applyAlignment="1">
      <alignment horizontal="center"/>
    </xf>
    <xf xfId="0" numFmtId="0" borderId="1" applyBorder="1" fontId="9" applyFont="1" fillId="0" applyAlignment="1">
      <alignment horizontal="center"/>
    </xf>
    <xf xfId="0" numFmtId="0" borderId="1" applyBorder="1" fontId="8" applyFont="1" fillId="8" applyFill="1" applyAlignment="1">
      <alignment horizontal="center"/>
    </xf>
    <xf xfId="0" numFmtId="3" applyNumberFormat="1" borderId="1" applyBorder="1" fontId="8" applyFont="1" fillId="8" applyFill="1" applyAlignment="1">
      <alignment horizontal="center"/>
    </xf>
    <xf xfId="0" numFmtId="3" applyNumberFormat="1" borderId="4" applyBorder="1" fontId="8" applyFont="1" fillId="0" applyAlignment="1">
      <alignment horizontal="left"/>
    </xf>
    <xf xfId="0" numFmtId="3" applyNumberFormat="1" borderId="1" applyBorder="1" fontId="8" applyFont="1" fillId="0" applyAlignment="1">
      <alignment horizontal="center"/>
    </xf>
    <xf xfId="0" numFmtId="1" applyNumberFormat="1" borderId="1" applyBorder="1" fontId="8" applyFont="1" fillId="0" applyAlignment="1">
      <alignment horizontal="center"/>
    </xf>
    <xf xfId="0" numFmtId="0" borderId="1" applyBorder="1" fontId="8" applyFont="1" fillId="0" applyAlignment="1">
      <alignment horizontal="center"/>
    </xf>
    <xf xfId="0" numFmtId="1" applyNumberFormat="1" borderId="3" applyBorder="1" fontId="3" applyFont="1" fillId="0" applyAlignment="1">
      <alignment horizontal="center"/>
    </xf>
    <xf xfId="0" numFmtId="3" applyNumberFormat="1" borderId="10" applyBorder="1" fontId="11" applyFont="1" fillId="9" applyFill="1" applyAlignment="1">
      <alignment horizontal="left"/>
    </xf>
    <xf xfId="0" numFmtId="1" applyNumberFormat="1" borderId="10" applyBorder="1" fontId="11" applyFont="1" fillId="9" applyFill="1" applyAlignment="1">
      <alignment horizontal="left"/>
    </xf>
    <xf xfId="0" numFmtId="0" borderId="10" applyBorder="1" fontId="11" applyFont="1" fillId="9" applyFill="1" applyAlignment="1">
      <alignment horizontal="left"/>
    </xf>
    <xf xfId="0" numFmtId="1" applyNumberFormat="1" borderId="21" applyBorder="1" fontId="9" applyFont="1" fillId="0" applyAlignment="1">
      <alignment horizontal="left"/>
    </xf>
    <xf xfId="0" numFmtId="0" borderId="21" applyBorder="1" fontId="9" applyFont="1" fillId="0" applyAlignment="1">
      <alignment horizontal="left"/>
    </xf>
    <xf xfId="0" numFmtId="1" applyNumberFormat="1" borderId="10" applyBorder="1" fontId="8" applyFont="1" fillId="8" applyFill="1" applyAlignment="1">
      <alignment horizontal="left"/>
    </xf>
    <xf xfId="0" numFmtId="1" applyNumberFormat="1" borderId="21" applyBorder="1" fontId="8" applyFont="1" fillId="0" applyAlignment="1">
      <alignment horizontal="left"/>
    </xf>
    <xf xfId="0" numFmtId="1" applyNumberFormat="1" borderId="10" applyBorder="1" fontId="12" applyFont="1" fillId="9" applyFill="1" applyAlignment="1">
      <alignment horizontal="left"/>
    </xf>
    <xf xfId="0" numFmtId="1" applyNumberFormat="1" borderId="10" applyBorder="1" fontId="12" applyFont="1" fillId="8" applyFill="1" applyAlignment="1">
      <alignment horizontal="left"/>
    </xf>
    <xf xfId="0" numFmtId="3" applyNumberFormat="1" borderId="10" applyBorder="1" fontId="3" applyFont="1" fillId="3" applyFill="1" applyAlignment="1">
      <alignment horizontal="center"/>
    </xf>
    <xf xfId="0" numFmtId="1" applyNumberFormat="1" borderId="10" applyBorder="1" fontId="3" applyFont="1" fillId="3" applyFill="1" applyAlignment="1">
      <alignment horizontal="center"/>
    </xf>
    <xf xfId="0" numFmtId="0" borderId="10" applyBorder="1" fontId="3" applyFont="1" fillId="3" applyFill="1" applyAlignment="1">
      <alignment horizontal="center"/>
    </xf>
    <xf xfId="0" numFmtId="3" applyNumberFormat="1" borderId="10" applyBorder="1" fontId="9" applyFont="1" fillId="3" applyFill="1" applyAlignment="1">
      <alignment horizontal="left"/>
    </xf>
    <xf xfId="0" numFmtId="1" applyNumberFormat="1" borderId="10" applyBorder="1" fontId="9" applyFont="1" fillId="3" applyFill="1" applyAlignment="1">
      <alignment horizontal="left"/>
    </xf>
    <xf xfId="0" numFmtId="0" borderId="10" applyBorder="1" fontId="9" applyFont="1" fillId="3" applyFill="1" applyAlignment="1">
      <alignment horizontal="left"/>
    </xf>
    <xf xfId="0" numFmtId="1" applyNumberFormat="1" borderId="11" applyBorder="1" fontId="7" applyFont="1" fillId="11" applyFill="1" applyAlignment="1">
      <alignment horizontal="left"/>
    </xf>
    <xf xfId="0" numFmtId="0" borderId="11" applyBorder="1" fontId="7" applyFont="1" fillId="11" applyFill="1" applyAlignment="1">
      <alignment horizontal="left"/>
    </xf>
    <xf xfId="0" numFmtId="1" applyNumberFormat="1" borderId="1" applyBorder="1" fontId="9" applyFont="1" fillId="0" applyAlignment="1">
      <alignment horizontal="left"/>
    </xf>
    <xf xfId="0" numFmtId="1" applyNumberFormat="1" borderId="10" applyBorder="1" fontId="12" applyFont="1" fillId="8" applyFill="1" applyAlignment="1">
      <alignment horizontal="right"/>
    </xf>
    <xf xfId="0" numFmtId="1" applyNumberFormat="1" borderId="10" applyBorder="1" fontId="12" applyFont="1" fillId="12" applyFill="1" applyAlignment="1">
      <alignment horizontal="right"/>
    </xf>
    <xf xfId="0" numFmtId="3" applyNumberFormat="1" borderId="11" applyBorder="1" fontId="12" applyFont="1" fillId="8" applyFill="1" applyAlignment="1">
      <alignment horizontal="left"/>
    </xf>
    <xf xfId="0" numFmtId="1" applyNumberFormat="1" borderId="11" applyBorder="1" fontId="12" applyFont="1" fillId="8" applyFill="1" applyAlignment="1">
      <alignment horizontal="left"/>
    </xf>
    <xf xfId="0" numFmtId="1" applyNumberFormat="1" borderId="15" applyBorder="1" fontId="3" applyFont="1" fillId="0" applyAlignment="1">
      <alignment horizontal="left"/>
    </xf>
    <xf xfId="0" numFmtId="0" borderId="15" applyBorder="1" fontId="3" applyFont="1" fillId="0" applyAlignment="1">
      <alignment horizontal="left"/>
    </xf>
    <xf xfId="0" numFmtId="1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1" applyNumberFormat="1" borderId="4" applyBorder="1" fontId="3" applyFont="1" fillId="0" applyAlignment="1">
      <alignment horizontal="left"/>
    </xf>
    <xf xfId="0" numFmtId="1" applyNumberFormat="1" borderId="5" applyBorder="1" fontId="12" applyFont="1" fillId="12" applyFill="1" applyAlignment="1">
      <alignment horizontal="right"/>
    </xf>
    <xf xfId="0" numFmtId="3" applyNumberFormat="1" borderId="5" applyBorder="1" fontId="12" applyFont="1" fillId="12" applyFill="1" applyAlignment="1">
      <alignment horizontal="right"/>
    </xf>
    <xf xfId="0" numFmtId="0" borderId="5" applyBorder="1" fontId="12" applyFont="1" fillId="12" applyFill="1" applyAlignment="1">
      <alignment horizontal="right"/>
    </xf>
    <xf xfId="0" numFmtId="1" applyNumberFormat="1" borderId="10" applyBorder="1" fontId="13" applyFont="1" fillId="7" applyFill="1" applyAlignment="1">
      <alignment horizontal="left"/>
    </xf>
    <xf xfId="0" numFmtId="1" applyNumberFormat="1" borderId="10" applyBorder="1" fontId="8" applyFont="1" fillId="11" applyFill="1" applyAlignment="1">
      <alignment horizontal="left"/>
    </xf>
    <xf xfId="0" numFmtId="0" borderId="0" fontId="0" fillId="0" applyAlignment="1">
      <alignment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/>
  </sheetViews>
  <sheetFormatPr defaultRowHeight="15" x14ac:dyDescent="0.25"/>
  <cols>
    <col min="1" max="1" style="16" width="77.43357142857143" customWidth="1" bestFit="1"/>
  </cols>
  <sheetData>
    <row x14ac:dyDescent="0.25" r="1" customHeight="1" ht="228" customFormat="1" s="281">
      <c r="A1" s="10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5"/>
  <sheetViews>
    <sheetView workbookViewId="0"/>
  </sheetViews>
  <sheetFormatPr defaultRowHeight="15" x14ac:dyDescent="0.25"/>
  <cols>
    <col min="1" max="1" style="17" width="13.147857142857141" customWidth="1" bestFit="1"/>
    <col min="2" max="2" style="17" width="10.290714285714287" customWidth="1" bestFit="1"/>
    <col min="3" max="3" style="17" width="20.433571428571426" customWidth="1" bestFit="1"/>
    <col min="4" max="4" style="17" width="11.290714285714287" customWidth="1" bestFit="1"/>
    <col min="5" max="5" style="79" width="11.290714285714287" customWidth="1" bestFit="1"/>
    <col min="6" max="6" style="17" width="11.290714285714287" customWidth="1" bestFit="1"/>
    <col min="7" max="7" style="17" width="17.290714285714284" customWidth="1" bestFit="1"/>
    <col min="8" max="8" style="16" width="19.862142857142857" customWidth="1" bestFit="1"/>
    <col min="9" max="9" style="16" width="11.290714285714287" customWidth="1" bestFit="1"/>
    <col min="10" max="10" style="16" width="11.290714285714287" customWidth="1" bestFit="1"/>
    <col min="11" max="11" style="16" width="27.433571428571426" customWidth="1" bestFit="1"/>
    <col min="12" max="12" style="17" width="20.290714285714284" customWidth="1" bestFit="1"/>
    <col min="13" max="13" style="16" width="33.005" customWidth="1" bestFit="1"/>
    <col min="14" max="14" style="16" width="37.71928571428572" customWidth="1" bestFit="1"/>
    <col min="15" max="15" style="16" width="11.290714285714287" customWidth="1" bestFit="1"/>
    <col min="16" max="16" style="16" width="11.290714285714287" customWidth="1" bestFit="1"/>
    <col min="17" max="17" style="17" width="16.290714285714284" customWidth="1" bestFit="1"/>
    <col min="18" max="18" style="17" width="9.43357142857143" customWidth="1" bestFit="1"/>
    <col min="19" max="19" style="16" width="12.290714285714287" customWidth="1" bestFit="1"/>
    <col min="20" max="20" style="16" width="77.57642857142856" customWidth="1" bestFit="1"/>
  </cols>
  <sheetData>
    <row x14ac:dyDescent="0.25" r="1" customHeight="1" ht="18">
      <c r="A1" s="176" t="s">
        <v>133</v>
      </c>
      <c r="B1" s="97" t="s">
        <v>72</v>
      </c>
      <c r="C1" s="97" t="s">
        <v>0</v>
      </c>
      <c r="D1" s="97" t="s">
        <v>73</v>
      </c>
      <c r="E1" s="226" t="s">
        <v>241</v>
      </c>
      <c r="F1" s="97" t="s">
        <v>262</v>
      </c>
      <c r="G1" s="97" t="s">
        <v>242</v>
      </c>
      <c r="H1" s="99" t="s">
        <v>243</v>
      </c>
      <c r="I1" s="99" t="s">
        <v>244</v>
      </c>
      <c r="J1" s="99" t="s">
        <v>245</v>
      </c>
      <c r="K1" s="99" t="s">
        <v>246</v>
      </c>
      <c r="L1" s="97" t="s">
        <v>247</v>
      </c>
      <c r="M1" s="99" t="s">
        <v>248</v>
      </c>
      <c r="N1" s="99" t="s">
        <v>249</v>
      </c>
      <c r="O1" s="99"/>
      <c r="P1" s="99"/>
      <c r="Q1" s="97" t="s">
        <v>74</v>
      </c>
      <c r="R1" s="97" t="s">
        <v>75</v>
      </c>
      <c r="S1" s="99" t="s">
        <v>76</v>
      </c>
      <c r="T1" s="99" t="s">
        <v>2</v>
      </c>
    </row>
    <row x14ac:dyDescent="0.25" r="2" customHeight="1" ht="18">
      <c r="A2" s="177" t="s">
        <v>136</v>
      </c>
      <c r="B2" s="178">
        <v>14</v>
      </c>
      <c r="C2" s="105"/>
      <c r="D2" s="105"/>
      <c r="E2" s="227"/>
      <c r="F2" s="105"/>
      <c r="G2" s="105"/>
      <c r="H2" s="104"/>
      <c r="I2" s="104"/>
      <c r="J2" s="104"/>
      <c r="K2" s="104"/>
      <c r="L2" s="105"/>
      <c r="M2" s="104"/>
      <c r="N2" s="104"/>
      <c r="O2" s="104"/>
      <c r="P2" s="104"/>
      <c r="Q2" s="105"/>
      <c r="R2" s="105"/>
      <c r="S2" s="104"/>
      <c r="T2" s="104"/>
    </row>
    <row x14ac:dyDescent="0.25" r="3" customHeight="1" ht="18">
      <c r="A3" s="107">
        <v>1</v>
      </c>
      <c r="B3" s="139" t="s">
        <v>137</v>
      </c>
      <c r="C3" s="162" t="s">
        <v>138</v>
      </c>
      <c r="D3" s="228">
        <v>9704558462</v>
      </c>
      <c r="E3" s="229">
        <v>45143</v>
      </c>
      <c r="F3" s="228">
        <v>6</v>
      </c>
      <c r="G3" s="228">
        <v>76546389732</v>
      </c>
      <c r="H3" s="230" t="s">
        <v>252</v>
      </c>
      <c r="I3" s="230" t="s">
        <v>253</v>
      </c>
      <c r="J3" s="230" t="s">
        <v>254</v>
      </c>
      <c r="K3" s="230" t="s">
        <v>255</v>
      </c>
      <c r="L3" s="228">
        <v>9704558482</v>
      </c>
      <c r="M3" s="230" t="s">
        <v>256</v>
      </c>
      <c r="N3" s="230" t="s">
        <v>257</v>
      </c>
      <c r="O3" s="230"/>
      <c r="P3" s="230"/>
      <c r="Q3" s="114"/>
      <c r="R3" s="12">
        <v>8700</v>
      </c>
      <c r="S3" s="112"/>
      <c r="T3" s="106"/>
    </row>
    <row x14ac:dyDescent="0.25" r="4" customHeight="1" ht="18">
      <c r="A4" s="107">
        <v>2</v>
      </c>
      <c r="B4" s="139" t="s">
        <v>139</v>
      </c>
      <c r="C4" s="162" t="s">
        <v>140</v>
      </c>
      <c r="D4" s="128"/>
      <c r="E4" s="266"/>
      <c r="F4" s="128"/>
      <c r="G4" s="128"/>
      <c r="H4" s="153"/>
      <c r="I4" s="153"/>
      <c r="J4" s="153"/>
      <c r="K4" s="153"/>
      <c r="L4" s="128"/>
      <c r="M4" s="153"/>
      <c r="N4" s="153"/>
      <c r="O4" s="153"/>
      <c r="P4" s="153"/>
      <c r="Q4" s="12">
        <v>8500</v>
      </c>
      <c r="R4" s="12">
        <v>8900</v>
      </c>
      <c r="S4" s="112"/>
      <c r="T4" s="106"/>
    </row>
    <row x14ac:dyDescent="0.25" r="5" customHeight="1" ht="18">
      <c r="A5" s="179"/>
      <c r="B5" s="180"/>
      <c r="C5" s="181"/>
      <c r="D5" s="183"/>
      <c r="E5" s="267"/>
      <c r="F5" s="183"/>
      <c r="G5" s="183"/>
      <c r="H5" s="182"/>
      <c r="I5" s="182"/>
      <c r="J5" s="182"/>
      <c r="K5" s="182"/>
      <c r="L5" s="183"/>
      <c r="M5" s="182"/>
      <c r="N5" s="182"/>
      <c r="O5" s="182"/>
      <c r="P5" s="182"/>
      <c r="Q5" s="183"/>
      <c r="R5" s="183"/>
      <c r="S5" s="184"/>
      <c r="T5" s="186"/>
    </row>
    <row x14ac:dyDescent="0.25" r="6" customHeight="1" ht="18">
      <c r="A6" s="107">
        <v>3</v>
      </c>
      <c r="B6" s="139" t="s">
        <v>141</v>
      </c>
      <c r="C6" s="162" t="s">
        <v>142</v>
      </c>
      <c r="D6" s="128"/>
      <c r="E6" s="266"/>
      <c r="F6" s="128"/>
      <c r="G6" s="128"/>
      <c r="H6" s="153"/>
      <c r="I6" s="153"/>
      <c r="J6" s="153"/>
      <c r="K6" s="153"/>
      <c r="L6" s="128"/>
      <c r="M6" s="153"/>
      <c r="N6" s="153"/>
      <c r="O6" s="153"/>
      <c r="P6" s="153"/>
      <c r="Q6" s="12">
        <v>8300</v>
      </c>
      <c r="R6" s="12">
        <v>7000</v>
      </c>
      <c r="S6" s="112"/>
      <c r="T6" s="106"/>
    </row>
    <row x14ac:dyDescent="0.25" r="7" customHeight="1" ht="18">
      <c r="A7" s="122">
        <v>4</v>
      </c>
      <c r="B7" s="139" t="s">
        <v>143</v>
      </c>
      <c r="C7" s="162" t="s">
        <v>144</v>
      </c>
      <c r="D7" s="128"/>
      <c r="E7" s="266"/>
      <c r="F7" s="128"/>
      <c r="G7" s="128"/>
      <c r="H7" s="153"/>
      <c r="I7" s="153"/>
      <c r="J7" s="153"/>
      <c r="K7" s="153"/>
      <c r="L7" s="128"/>
      <c r="M7" s="153"/>
      <c r="N7" s="153"/>
      <c r="O7" s="153"/>
      <c r="P7" s="153"/>
      <c r="Q7" s="12">
        <v>6500</v>
      </c>
      <c r="R7" s="12">
        <v>8500</v>
      </c>
      <c r="S7" s="112"/>
      <c r="T7" s="106"/>
    </row>
    <row x14ac:dyDescent="0.25" r="8" customHeight="1" ht="18">
      <c r="A8" s="122">
        <v>5</v>
      </c>
      <c r="B8" s="139" t="s">
        <v>145</v>
      </c>
      <c r="C8" s="162" t="s">
        <v>146</v>
      </c>
      <c r="D8" s="128"/>
      <c r="E8" s="266"/>
      <c r="F8" s="128"/>
      <c r="G8" s="128"/>
      <c r="H8" s="153"/>
      <c r="I8" s="153"/>
      <c r="J8" s="153"/>
      <c r="K8" s="153"/>
      <c r="L8" s="128"/>
      <c r="M8" s="153"/>
      <c r="N8" s="153"/>
      <c r="O8" s="153"/>
      <c r="P8" s="153"/>
      <c r="Q8" s="114"/>
      <c r="R8" s="12">
        <v>8500</v>
      </c>
      <c r="S8" s="112"/>
      <c r="T8" s="106"/>
    </row>
    <row x14ac:dyDescent="0.25" r="9" customHeight="1" ht="18">
      <c r="A9" s="179"/>
      <c r="B9" s="180"/>
      <c r="C9" s="181"/>
      <c r="D9" s="183"/>
      <c r="E9" s="267"/>
      <c r="F9" s="183"/>
      <c r="G9" s="183"/>
      <c r="H9" s="182"/>
      <c r="I9" s="182"/>
      <c r="J9" s="182"/>
      <c r="K9" s="182"/>
      <c r="L9" s="183"/>
      <c r="M9" s="182"/>
      <c r="N9" s="182"/>
      <c r="O9" s="182"/>
      <c r="P9" s="182"/>
      <c r="Q9" s="183"/>
      <c r="R9" s="183"/>
      <c r="S9" s="184"/>
      <c r="T9" s="186"/>
    </row>
    <row x14ac:dyDescent="0.25" r="10" customHeight="1" ht="18">
      <c r="A10" s="116">
        <v>6</v>
      </c>
      <c r="B10" s="187">
        <v>45304</v>
      </c>
      <c r="C10" s="159"/>
      <c r="D10" s="268"/>
      <c r="E10" s="269"/>
      <c r="F10" s="268"/>
      <c r="G10" s="268"/>
      <c r="H10" s="188"/>
      <c r="I10" s="188"/>
      <c r="J10" s="188"/>
      <c r="K10" s="188"/>
      <c r="L10" s="268"/>
      <c r="M10" s="188"/>
      <c r="N10" s="188"/>
      <c r="O10" s="188"/>
      <c r="P10" s="188"/>
      <c r="Q10" s="114"/>
      <c r="R10" s="12"/>
      <c r="S10" s="153"/>
      <c r="T10" s="106"/>
    </row>
    <row x14ac:dyDescent="0.25" r="11" customHeight="1" ht="18">
      <c r="A11" s="107">
        <v>7</v>
      </c>
      <c r="B11" s="189">
        <v>45335</v>
      </c>
      <c r="C11" s="190" t="s">
        <v>147</v>
      </c>
      <c r="D11" s="15"/>
      <c r="E11" s="57"/>
      <c r="F11" s="15"/>
      <c r="G11" s="15"/>
      <c r="H11" s="14"/>
      <c r="I11" s="14"/>
      <c r="J11" s="14"/>
      <c r="K11" s="14"/>
      <c r="L11" s="15"/>
      <c r="M11" s="14"/>
      <c r="N11" s="14"/>
      <c r="O11" s="14"/>
      <c r="P11" s="14"/>
      <c r="Q11" s="90">
        <v>8500</v>
      </c>
      <c r="R11" s="12">
        <v>8500</v>
      </c>
      <c r="S11" s="112"/>
      <c r="T11" s="106" t="s">
        <v>154</v>
      </c>
    </row>
    <row x14ac:dyDescent="0.25" r="12" customHeight="1" ht="18">
      <c r="A12" s="107">
        <v>8</v>
      </c>
      <c r="B12" s="189">
        <v>45364</v>
      </c>
      <c r="C12" s="190" t="s">
        <v>149</v>
      </c>
      <c r="D12" s="15"/>
      <c r="E12" s="57"/>
      <c r="F12" s="15"/>
      <c r="G12" s="15"/>
      <c r="H12" s="14"/>
      <c r="I12" s="14"/>
      <c r="J12" s="14"/>
      <c r="K12" s="14"/>
      <c r="L12" s="15"/>
      <c r="M12" s="14"/>
      <c r="N12" s="14"/>
      <c r="O12" s="14"/>
      <c r="P12" s="14"/>
      <c r="Q12" s="90">
        <v>8000</v>
      </c>
      <c r="R12" s="191">
        <v>8000</v>
      </c>
      <c r="S12" s="112"/>
      <c r="T12" s="106" t="s">
        <v>150</v>
      </c>
    </row>
    <row x14ac:dyDescent="0.25" r="13" customHeight="1" ht="18">
      <c r="A13" s="107">
        <v>9</v>
      </c>
      <c r="B13" s="192">
        <v>45395</v>
      </c>
      <c r="C13" s="190" t="s">
        <v>151</v>
      </c>
      <c r="D13" s="15"/>
      <c r="E13" s="57"/>
      <c r="F13" s="15"/>
      <c r="G13" s="15"/>
      <c r="H13" s="14"/>
      <c r="I13" s="14"/>
      <c r="J13" s="14"/>
      <c r="K13" s="14"/>
      <c r="L13" s="15"/>
      <c r="M13" s="14"/>
      <c r="N13" s="14"/>
      <c r="O13" s="14"/>
      <c r="P13" s="14"/>
      <c r="Q13" s="90">
        <v>8000</v>
      </c>
      <c r="R13" s="12">
        <v>8000</v>
      </c>
      <c r="S13" s="3"/>
      <c r="T13" s="14" t="s">
        <v>152</v>
      </c>
    </row>
    <row x14ac:dyDescent="0.25" r="14" customHeight="1" ht="18">
      <c r="A14" s="179"/>
      <c r="B14" s="194"/>
      <c r="C14" s="183"/>
      <c r="D14" s="183"/>
      <c r="E14" s="267"/>
      <c r="F14" s="183"/>
      <c r="G14" s="183"/>
      <c r="H14" s="182"/>
      <c r="I14" s="182"/>
      <c r="J14" s="182"/>
      <c r="K14" s="182"/>
      <c r="L14" s="183"/>
      <c r="M14" s="182"/>
      <c r="N14" s="182"/>
      <c r="O14" s="182"/>
      <c r="P14" s="182"/>
      <c r="Q14" s="183"/>
      <c r="R14" s="183"/>
      <c r="S14" s="184"/>
      <c r="T14" s="186"/>
    </row>
    <row x14ac:dyDescent="0.25" r="15" customHeight="1" ht="18">
      <c r="A15" s="107">
        <v>10</v>
      </c>
      <c r="B15" s="189">
        <v>45305</v>
      </c>
      <c r="C15" s="15" t="s">
        <v>153</v>
      </c>
      <c r="D15" s="15"/>
      <c r="E15" s="57"/>
      <c r="F15" s="15"/>
      <c r="G15" s="15"/>
      <c r="H15" s="14"/>
      <c r="I15" s="14"/>
      <c r="J15" s="14"/>
      <c r="K15" s="14"/>
      <c r="L15" s="15"/>
      <c r="M15" s="14"/>
      <c r="N15" s="14"/>
      <c r="O15" s="14"/>
      <c r="P15" s="14"/>
      <c r="Q15" s="12">
        <v>8500</v>
      </c>
      <c r="R15" s="12">
        <v>8500</v>
      </c>
      <c r="S15" s="112"/>
      <c r="T15" s="106" t="s">
        <v>154</v>
      </c>
    </row>
    <row x14ac:dyDescent="0.25" r="16" customHeight="1" ht="18">
      <c r="A16" s="107">
        <v>11</v>
      </c>
      <c r="B16" s="189">
        <v>45336</v>
      </c>
      <c r="C16" s="15" t="s">
        <v>155</v>
      </c>
      <c r="D16" s="15"/>
      <c r="E16" s="57"/>
      <c r="F16" s="15"/>
      <c r="G16" s="15"/>
      <c r="H16" s="14"/>
      <c r="I16" s="14"/>
      <c r="J16" s="14"/>
      <c r="K16" s="14"/>
      <c r="L16" s="15"/>
      <c r="M16" s="14"/>
      <c r="N16" s="14"/>
      <c r="O16" s="14"/>
      <c r="P16" s="14"/>
      <c r="Q16" s="12">
        <v>8500</v>
      </c>
      <c r="R16" s="12">
        <v>8500</v>
      </c>
      <c r="S16" s="112"/>
      <c r="T16" s="106" t="s">
        <v>150</v>
      </c>
    </row>
    <row x14ac:dyDescent="0.25" r="17" customHeight="1" ht="18">
      <c r="A17" s="107">
        <v>12</v>
      </c>
      <c r="B17" s="189">
        <v>45365</v>
      </c>
      <c r="C17" s="15" t="s">
        <v>156</v>
      </c>
      <c r="D17" s="15"/>
      <c r="E17" s="57"/>
      <c r="F17" s="15"/>
      <c r="G17" s="15"/>
      <c r="H17" s="14"/>
      <c r="I17" s="14"/>
      <c r="J17" s="14"/>
      <c r="K17" s="14"/>
      <c r="L17" s="15"/>
      <c r="M17" s="14"/>
      <c r="N17" s="14"/>
      <c r="O17" s="14"/>
      <c r="P17" s="14"/>
      <c r="Q17" s="12">
        <v>8500</v>
      </c>
      <c r="R17" s="12">
        <v>8500</v>
      </c>
      <c r="S17" s="112"/>
      <c r="T17" s="106"/>
    </row>
    <row x14ac:dyDescent="0.25" r="18" customHeight="1" ht="18">
      <c r="A18" s="179"/>
      <c r="B18" s="194"/>
      <c r="C18" s="183"/>
      <c r="D18" s="183"/>
      <c r="E18" s="267"/>
      <c r="F18" s="183"/>
      <c r="G18" s="183"/>
      <c r="H18" s="182"/>
      <c r="I18" s="182"/>
      <c r="J18" s="182"/>
      <c r="K18" s="182"/>
      <c r="L18" s="183"/>
      <c r="M18" s="182"/>
      <c r="N18" s="182"/>
      <c r="O18" s="182"/>
      <c r="P18" s="182"/>
      <c r="Q18" s="183"/>
      <c r="R18" s="183"/>
      <c r="S18" s="184"/>
      <c r="T18" s="186"/>
    </row>
    <row x14ac:dyDescent="0.25" r="19" customHeight="1" ht="18">
      <c r="A19" s="107">
        <v>13</v>
      </c>
      <c r="B19" s="189">
        <v>45306</v>
      </c>
      <c r="C19" s="141" t="s">
        <v>157</v>
      </c>
      <c r="D19" s="141"/>
      <c r="E19" s="265"/>
      <c r="F19" s="141"/>
      <c r="G19" s="141"/>
      <c r="H19" s="106"/>
      <c r="I19" s="106"/>
      <c r="J19" s="106"/>
      <c r="K19" s="106"/>
      <c r="L19" s="141"/>
      <c r="M19" s="106"/>
      <c r="N19" s="106"/>
      <c r="O19" s="106"/>
      <c r="P19" s="106"/>
      <c r="Q19" s="12">
        <v>8300</v>
      </c>
      <c r="R19" s="12">
        <v>8500</v>
      </c>
      <c r="S19" s="112"/>
      <c r="T19" s="106"/>
    </row>
    <row x14ac:dyDescent="0.25" r="20" customHeight="1" ht="18">
      <c r="A20" s="107">
        <v>14</v>
      </c>
      <c r="B20" s="189">
        <v>45337</v>
      </c>
      <c r="C20" s="15" t="s">
        <v>158</v>
      </c>
      <c r="D20" s="15"/>
      <c r="E20" s="57"/>
      <c r="F20" s="15"/>
      <c r="G20" s="15"/>
      <c r="H20" s="14"/>
      <c r="I20" s="14"/>
      <c r="J20" s="14"/>
      <c r="K20" s="14"/>
      <c r="L20" s="15"/>
      <c r="M20" s="14"/>
      <c r="N20" s="14"/>
      <c r="O20" s="14"/>
      <c r="P20" s="14"/>
      <c r="Q20" s="12">
        <v>8500</v>
      </c>
      <c r="R20" s="12">
        <v>8500</v>
      </c>
      <c r="S20" s="112"/>
      <c r="T20" s="106"/>
    </row>
    <row x14ac:dyDescent="0.25" r="21" customHeight="1" ht="18">
      <c r="A21" s="122">
        <v>15</v>
      </c>
      <c r="B21" s="115" t="s">
        <v>159</v>
      </c>
      <c r="C21" s="15" t="s">
        <v>160</v>
      </c>
      <c r="D21" s="15"/>
      <c r="E21" s="57"/>
      <c r="F21" s="15"/>
      <c r="G21" s="15"/>
      <c r="H21" s="14"/>
      <c r="I21" s="14"/>
      <c r="J21" s="14"/>
      <c r="K21" s="14"/>
      <c r="L21" s="15"/>
      <c r="M21" s="14"/>
      <c r="N21" s="14"/>
      <c r="O21" s="14"/>
      <c r="P21" s="14"/>
      <c r="Q21" s="114"/>
      <c r="R21" s="12">
        <v>8500</v>
      </c>
      <c r="S21" s="112"/>
      <c r="T21" s="106"/>
    </row>
    <row x14ac:dyDescent="0.25" r="22" customHeight="1" ht="18">
      <c r="A22" s="177" t="s">
        <v>161</v>
      </c>
      <c r="B22" s="178">
        <v>11</v>
      </c>
      <c r="C22" s="105"/>
      <c r="D22" s="105"/>
      <c r="E22" s="227"/>
      <c r="F22" s="105"/>
      <c r="G22" s="105"/>
      <c r="H22" s="104"/>
      <c r="I22" s="104"/>
      <c r="J22" s="104"/>
      <c r="K22" s="104"/>
      <c r="L22" s="105"/>
      <c r="M22" s="104"/>
      <c r="N22" s="104"/>
      <c r="O22" s="104"/>
      <c r="P22" s="104"/>
      <c r="Q22" s="105"/>
      <c r="R22" s="105"/>
      <c r="S22" s="104"/>
      <c r="T22" s="106"/>
    </row>
    <row x14ac:dyDescent="0.25" r="23" customHeight="1" ht="18">
      <c r="A23" s="107">
        <v>16</v>
      </c>
      <c r="B23" s="189">
        <v>45312</v>
      </c>
      <c r="C23" s="15" t="s">
        <v>162</v>
      </c>
      <c r="D23" s="15"/>
      <c r="E23" s="57"/>
      <c r="F23" s="15"/>
      <c r="G23" s="15"/>
      <c r="H23" s="14"/>
      <c r="I23" s="14"/>
      <c r="J23" s="14"/>
      <c r="K23" s="14"/>
      <c r="L23" s="15"/>
      <c r="M23" s="14"/>
      <c r="N23" s="14"/>
      <c r="O23" s="14"/>
      <c r="P23" s="14"/>
      <c r="Q23" s="12">
        <v>9000</v>
      </c>
      <c r="R23" s="12">
        <v>9000</v>
      </c>
      <c r="S23" s="112"/>
      <c r="T23" s="106"/>
    </row>
    <row x14ac:dyDescent="0.25" r="24" customHeight="1" ht="18">
      <c r="A24" s="107">
        <v>17</v>
      </c>
      <c r="B24" s="189">
        <v>45343</v>
      </c>
      <c r="C24" s="15" t="s">
        <v>163</v>
      </c>
      <c r="D24" s="15"/>
      <c r="E24" s="57"/>
      <c r="F24" s="15"/>
      <c r="G24" s="15"/>
      <c r="H24" s="14"/>
      <c r="I24" s="14"/>
      <c r="J24" s="14"/>
      <c r="K24" s="14"/>
      <c r="L24" s="15"/>
      <c r="M24" s="14"/>
      <c r="N24" s="14"/>
      <c r="O24" s="14"/>
      <c r="P24" s="14"/>
      <c r="Q24" s="12">
        <v>8500</v>
      </c>
      <c r="R24" s="12">
        <v>8700</v>
      </c>
      <c r="S24" s="112"/>
      <c r="T24" s="106"/>
    </row>
    <row x14ac:dyDescent="0.25" r="25" customHeight="1" ht="18">
      <c r="A25" s="179"/>
      <c r="B25" s="194"/>
      <c r="C25" s="183"/>
      <c r="D25" s="183"/>
      <c r="E25" s="267"/>
      <c r="F25" s="183"/>
      <c r="G25" s="183"/>
      <c r="H25" s="182"/>
      <c r="I25" s="182"/>
      <c r="J25" s="182"/>
      <c r="K25" s="182"/>
      <c r="L25" s="183"/>
      <c r="M25" s="182"/>
      <c r="N25" s="182"/>
      <c r="O25" s="182"/>
      <c r="P25" s="182"/>
      <c r="Q25" s="183"/>
      <c r="R25" s="183"/>
      <c r="S25" s="184"/>
      <c r="T25" s="186"/>
    </row>
    <row x14ac:dyDescent="0.25" r="26" customHeight="1" ht="18">
      <c r="A26" s="122">
        <v>18</v>
      </c>
      <c r="B26" s="196">
        <v>45313</v>
      </c>
      <c r="C26" s="15" t="s">
        <v>164</v>
      </c>
      <c r="D26" s="15"/>
      <c r="E26" s="57"/>
      <c r="F26" s="15"/>
      <c r="G26" s="15"/>
      <c r="H26" s="14"/>
      <c r="I26" s="14"/>
      <c r="J26" s="14"/>
      <c r="K26" s="14"/>
      <c r="L26" s="15"/>
      <c r="M26" s="14"/>
      <c r="N26" s="14"/>
      <c r="O26" s="14"/>
      <c r="P26" s="14"/>
      <c r="Q26" s="12">
        <v>750</v>
      </c>
      <c r="R26" s="12">
        <v>7600</v>
      </c>
      <c r="S26" s="127"/>
      <c r="T26" s="138" t="s">
        <v>165</v>
      </c>
    </row>
    <row x14ac:dyDescent="0.25" r="27" customHeight="1" ht="18">
      <c r="A27" s="122">
        <v>19</v>
      </c>
      <c r="B27" s="196">
        <v>45313</v>
      </c>
      <c r="C27" s="15" t="s">
        <v>166</v>
      </c>
      <c r="D27" s="15"/>
      <c r="E27" s="270"/>
      <c r="F27" s="54"/>
      <c r="G27" s="54"/>
      <c r="H27" s="271"/>
      <c r="I27" s="271"/>
      <c r="J27" s="271"/>
      <c r="K27" s="271"/>
      <c r="L27" s="54"/>
      <c r="M27" s="271"/>
      <c r="N27" s="271"/>
      <c r="O27" s="271"/>
      <c r="P27" s="271"/>
      <c r="Q27" s="49">
        <v>8500</v>
      </c>
      <c r="R27" s="12">
        <v>8500</v>
      </c>
      <c r="S27" s="112"/>
      <c r="T27" s="106" t="s">
        <v>150</v>
      </c>
    </row>
    <row x14ac:dyDescent="0.25" r="28" customHeight="1" ht="18">
      <c r="A28" s="122">
        <v>20</v>
      </c>
      <c r="B28" s="196">
        <v>45344</v>
      </c>
      <c r="C28" s="15" t="s">
        <v>167</v>
      </c>
      <c r="D28" s="24"/>
      <c r="E28" s="272"/>
      <c r="F28" s="273"/>
      <c r="G28" s="273"/>
      <c r="H28" s="274"/>
      <c r="I28" s="274"/>
      <c r="J28" s="274"/>
      <c r="K28" s="274"/>
      <c r="L28" s="273"/>
      <c r="M28" s="274"/>
      <c r="N28" s="274"/>
      <c r="O28" s="274"/>
      <c r="P28" s="274"/>
      <c r="Q28" s="114"/>
      <c r="R28" s="90">
        <v>8500</v>
      </c>
      <c r="S28" s="112"/>
      <c r="T28" s="106" t="s">
        <v>150</v>
      </c>
    </row>
    <row x14ac:dyDescent="0.25" r="29" customHeight="1" ht="18">
      <c r="A29" s="179"/>
      <c r="B29" s="194"/>
      <c r="C29" s="183"/>
      <c r="D29" s="183"/>
      <c r="E29" s="267"/>
      <c r="F29" s="183"/>
      <c r="G29" s="183"/>
      <c r="H29" s="182"/>
      <c r="I29" s="182"/>
      <c r="J29" s="182"/>
      <c r="K29" s="182"/>
      <c r="L29" s="183"/>
      <c r="M29" s="182"/>
      <c r="N29" s="182"/>
      <c r="O29" s="182"/>
      <c r="P29" s="182"/>
      <c r="Q29" s="183"/>
      <c r="R29" s="183"/>
      <c r="S29" s="184"/>
      <c r="T29" s="186"/>
    </row>
    <row x14ac:dyDescent="0.25" r="30" customHeight="1" ht="18">
      <c r="A30" s="122">
        <v>21</v>
      </c>
      <c r="B30" s="196">
        <v>45314</v>
      </c>
      <c r="C30" s="15" t="s">
        <v>168</v>
      </c>
      <c r="D30" s="15"/>
      <c r="E30" s="57"/>
      <c r="F30" s="15"/>
      <c r="G30" s="15"/>
      <c r="H30" s="14"/>
      <c r="I30" s="14"/>
      <c r="J30" s="14"/>
      <c r="K30" s="14"/>
      <c r="L30" s="15"/>
      <c r="M30" s="14"/>
      <c r="N30" s="14"/>
      <c r="O30" s="14"/>
      <c r="P30" s="14"/>
      <c r="Q30" s="114"/>
      <c r="R30" s="12">
        <v>8000</v>
      </c>
      <c r="S30" s="140"/>
      <c r="T30" s="106"/>
    </row>
    <row x14ac:dyDescent="0.25" r="31" customHeight="1" ht="18">
      <c r="A31" s="107">
        <v>22</v>
      </c>
      <c r="B31" s="200">
        <v>45345</v>
      </c>
      <c r="C31" s="15" t="s">
        <v>169</v>
      </c>
      <c r="D31" s="15"/>
      <c r="E31" s="57"/>
      <c r="F31" s="15"/>
      <c r="G31" s="15"/>
      <c r="H31" s="14"/>
      <c r="I31" s="14"/>
      <c r="J31" s="14"/>
      <c r="K31" s="14"/>
      <c r="L31" s="15"/>
      <c r="M31" s="14"/>
      <c r="N31" s="14"/>
      <c r="O31" s="14"/>
      <c r="P31" s="14"/>
      <c r="Q31" s="12">
        <v>8000</v>
      </c>
      <c r="R31" s="12">
        <v>8000</v>
      </c>
      <c r="S31" s="112"/>
      <c r="T31" s="106"/>
    </row>
    <row x14ac:dyDescent="0.25" r="32" customHeight="1" ht="18">
      <c r="A32" s="107">
        <v>23</v>
      </c>
      <c r="B32" s="189">
        <v>45374</v>
      </c>
      <c r="C32" s="15" t="s">
        <v>170</v>
      </c>
      <c r="D32" s="15"/>
      <c r="E32" s="57"/>
      <c r="F32" s="15"/>
      <c r="G32" s="15"/>
      <c r="H32" s="14"/>
      <c r="I32" s="14"/>
      <c r="J32" s="14"/>
      <c r="K32" s="14"/>
      <c r="L32" s="15"/>
      <c r="M32" s="14"/>
      <c r="N32" s="14"/>
      <c r="O32" s="14"/>
      <c r="P32" s="14"/>
      <c r="Q32" s="114"/>
      <c r="R32" s="12">
        <v>8000</v>
      </c>
      <c r="S32" s="112"/>
      <c r="T32" s="106"/>
    </row>
    <row x14ac:dyDescent="0.25" r="33" customHeight="1" ht="18">
      <c r="A33" s="107">
        <v>24</v>
      </c>
      <c r="B33" s="189">
        <v>45405</v>
      </c>
      <c r="C33" s="15" t="s">
        <v>171</v>
      </c>
      <c r="D33" s="15"/>
      <c r="E33" s="57"/>
      <c r="F33" s="15"/>
      <c r="G33" s="15"/>
      <c r="H33" s="14"/>
      <c r="I33" s="14"/>
      <c r="J33" s="14"/>
      <c r="K33" s="14"/>
      <c r="L33" s="15"/>
      <c r="M33" s="14"/>
      <c r="N33" s="14"/>
      <c r="O33" s="14"/>
      <c r="P33" s="14"/>
      <c r="Q33" s="114"/>
      <c r="R33" s="12">
        <v>8000</v>
      </c>
      <c r="S33" s="112"/>
      <c r="T33" s="106"/>
    </row>
    <row x14ac:dyDescent="0.25" r="34" customHeight="1" ht="18">
      <c r="A34" s="179"/>
      <c r="B34" s="194"/>
      <c r="C34" s="183"/>
      <c r="D34" s="183"/>
      <c r="E34" s="267"/>
      <c r="F34" s="183"/>
      <c r="G34" s="183"/>
      <c r="H34" s="182"/>
      <c r="I34" s="182"/>
      <c r="J34" s="182"/>
      <c r="K34" s="182"/>
      <c r="L34" s="183"/>
      <c r="M34" s="182"/>
      <c r="N34" s="182"/>
      <c r="O34" s="182"/>
      <c r="P34" s="182"/>
      <c r="Q34" s="183"/>
      <c r="R34" s="183"/>
      <c r="S34" s="184"/>
      <c r="T34" s="186"/>
    </row>
    <row x14ac:dyDescent="0.25" r="35" customHeight="1" ht="18">
      <c r="A35" s="122">
        <v>25</v>
      </c>
      <c r="B35" s="196">
        <v>45315</v>
      </c>
      <c r="C35" s="15" t="s">
        <v>172</v>
      </c>
      <c r="D35" s="15"/>
      <c r="E35" s="57"/>
      <c r="F35" s="15"/>
      <c r="G35" s="15"/>
      <c r="H35" s="14"/>
      <c r="I35" s="14"/>
      <c r="J35" s="14"/>
      <c r="K35" s="14"/>
      <c r="L35" s="15"/>
      <c r="M35" s="14"/>
      <c r="N35" s="14"/>
      <c r="O35" s="14"/>
      <c r="P35" s="14"/>
      <c r="Q35" s="114"/>
      <c r="R35" s="12">
        <v>8800</v>
      </c>
      <c r="S35" s="112"/>
      <c r="T35" s="106"/>
    </row>
    <row x14ac:dyDescent="0.25" r="36" customHeight="1" ht="18">
      <c r="A36" s="107">
        <v>26</v>
      </c>
      <c r="B36" s="189">
        <v>45346</v>
      </c>
      <c r="C36" s="15" t="s">
        <v>173</v>
      </c>
      <c r="D36" s="15"/>
      <c r="E36" s="57"/>
      <c r="F36" s="15"/>
      <c r="G36" s="15"/>
      <c r="H36" s="14"/>
      <c r="I36" s="14"/>
      <c r="J36" s="14"/>
      <c r="K36" s="14"/>
      <c r="L36" s="15"/>
      <c r="M36" s="14"/>
      <c r="N36" s="14"/>
      <c r="O36" s="14"/>
      <c r="P36" s="14"/>
      <c r="Q36" s="12">
        <v>8300</v>
      </c>
      <c r="R36" s="12">
        <v>8300</v>
      </c>
      <c r="S36" s="112"/>
      <c r="T36" s="106" t="s">
        <v>150</v>
      </c>
    </row>
    <row x14ac:dyDescent="0.25" r="37" customHeight="1" ht="18">
      <c r="A37" s="107">
        <v>27</v>
      </c>
      <c r="B37" s="192">
        <v>45375</v>
      </c>
      <c r="C37" s="15" t="s">
        <v>174</v>
      </c>
      <c r="D37" s="24"/>
      <c r="E37" s="275"/>
      <c r="F37" s="24"/>
      <c r="G37" s="24"/>
      <c r="H37" s="94"/>
      <c r="I37" s="94"/>
      <c r="J37" s="94"/>
      <c r="K37" s="94"/>
      <c r="L37" s="24"/>
      <c r="M37" s="94"/>
      <c r="N37" s="94"/>
      <c r="O37" s="94"/>
      <c r="P37" s="94"/>
      <c r="Q37" s="12">
        <v>8600</v>
      </c>
      <c r="R37" s="12">
        <v>8600</v>
      </c>
      <c r="S37" s="112"/>
      <c r="T37" s="106"/>
    </row>
    <row x14ac:dyDescent="0.25" r="38" customHeight="1" ht="18">
      <c r="A38" s="179"/>
      <c r="B38" s="201"/>
      <c r="C38" s="202"/>
      <c r="D38" s="202"/>
      <c r="E38" s="276"/>
      <c r="F38" s="277"/>
      <c r="G38" s="277"/>
      <c r="H38" s="278"/>
      <c r="I38" s="278"/>
      <c r="J38" s="278"/>
      <c r="K38" s="278"/>
      <c r="L38" s="277"/>
      <c r="M38" s="278"/>
      <c r="N38" s="278"/>
      <c r="O38" s="278"/>
      <c r="P38" s="278"/>
      <c r="Q38" s="204"/>
      <c r="R38" s="204"/>
      <c r="S38" s="184"/>
      <c r="T38" s="186"/>
    </row>
    <row x14ac:dyDescent="0.25" r="39" customHeight="1" ht="18">
      <c r="A39" s="107">
        <v>28</v>
      </c>
      <c r="B39" s="192">
        <v>45316</v>
      </c>
      <c r="C39" s="15" t="s">
        <v>175</v>
      </c>
      <c r="D39" s="15"/>
      <c r="E39" s="57"/>
      <c r="F39" s="15"/>
      <c r="G39" s="15"/>
      <c r="H39" s="14"/>
      <c r="I39" s="14"/>
      <c r="J39" s="14"/>
      <c r="K39" s="14"/>
      <c r="L39" s="15"/>
      <c r="M39" s="14"/>
      <c r="N39" s="14"/>
      <c r="O39" s="14"/>
      <c r="P39" s="14"/>
      <c r="Q39" s="12">
        <v>8600</v>
      </c>
      <c r="R39" s="12">
        <v>8600</v>
      </c>
      <c r="S39" s="112"/>
      <c r="T39" s="106"/>
    </row>
    <row x14ac:dyDescent="0.25" r="40" customHeight="1" ht="18">
      <c r="A40" s="122">
        <v>29</v>
      </c>
      <c r="B40" s="205">
        <v>45347</v>
      </c>
      <c r="C40" s="15" t="s">
        <v>176</v>
      </c>
      <c r="D40" s="15"/>
      <c r="E40" s="57"/>
      <c r="F40" s="15"/>
      <c r="G40" s="15"/>
      <c r="H40" s="14"/>
      <c r="I40" s="14"/>
      <c r="J40" s="14"/>
      <c r="K40" s="14"/>
      <c r="L40" s="15"/>
      <c r="M40" s="14"/>
      <c r="N40" s="14"/>
      <c r="O40" s="14"/>
      <c r="P40" s="14"/>
      <c r="Q40" s="114"/>
      <c r="R40" s="12">
        <v>8600</v>
      </c>
      <c r="S40" s="127"/>
      <c r="T40" s="138"/>
    </row>
    <row x14ac:dyDescent="0.25" r="41" customHeight="1" ht="18">
      <c r="A41" s="122">
        <v>30</v>
      </c>
      <c r="B41" s="205">
        <v>45376</v>
      </c>
      <c r="C41" s="15" t="s">
        <v>177</v>
      </c>
      <c r="D41" s="15"/>
      <c r="E41" s="57"/>
      <c r="F41" s="15"/>
      <c r="G41" s="15"/>
      <c r="H41" s="14"/>
      <c r="I41" s="14"/>
      <c r="J41" s="14"/>
      <c r="K41" s="14"/>
      <c r="L41" s="15"/>
      <c r="M41" s="14"/>
      <c r="N41" s="14"/>
      <c r="O41" s="14"/>
      <c r="P41" s="14"/>
      <c r="Q41" s="114"/>
      <c r="R41" s="12">
        <v>8600</v>
      </c>
      <c r="S41" s="127"/>
      <c r="T41" s="138"/>
    </row>
    <row x14ac:dyDescent="0.25" r="42" customHeight="1" ht="18">
      <c r="A42" s="177" t="s">
        <v>178</v>
      </c>
      <c r="B42" s="206">
        <v>14</v>
      </c>
      <c r="C42" s="178"/>
      <c r="D42" s="178"/>
      <c r="E42" s="279"/>
      <c r="F42" s="178"/>
      <c r="G42" s="178"/>
      <c r="H42" s="207"/>
      <c r="I42" s="207"/>
      <c r="J42" s="207"/>
      <c r="K42" s="207"/>
      <c r="L42" s="178"/>
      <c r="M42" s="207"/>
      <c r="N42" s="207"/>
      <c r="O42" s="207"/>
      <c r="P42" s="207"/>
      <c r="Q42" s="105"/>
      <c r="R42" s="105"/>
      <c r="S42" s="104"/>
      <c r="T42" s="138"/>
    </row>
    <row x14ac:dyDescent="0.25" r="43" customHeight="1" ht="18">
      <c r="A43" s="107">
        <v>31</v>
      </c>
      <c r="B43" s="192">
        <v>45322</v>
      </c>
      <c r="C43" s="15" t="s">
        <v>179</v>
      </c>
      <c r="D43" s="15"/>
      <c r="E43" s="57"/>
      <c r="F43" s="15"/>
      <c r="G43" s="15"/>
      <c r="H43" s="14"/>
      <c r="I43" s="14"/>
      <c r="J43" s="14"/>
      <c r="K43" s="14"/>
      <c r="L43" s="15"/>
      <c r="M43" s="14"/>
      <c r="N43" s="14"/>
      <c r="O43" s="14"/>
      <c r="P43" s="14"/>
      <c r="Q43" s="12">
        <v>9000</v>
      </c>
      <c r="R43" s="12">
        <v>9000</v>
      </c>
      <c r="S43" s="112"/>
      <c r="T43" s="106"/>
    </row>
    <row x14ac:dyDescent="0.25" r="44" customHeight="1" ht="18">
      <c r="A44" s="107">
        <v>31</v>
      </c>
      <c r="B44" s="208" t="s">
        <v>180</v>
      </c>
      <c r="C44" s="15" t="s">
        <v>181</v>
      </c>
      <c r="D44" s="15"/>
      <c r="E44" s="57"/>
      <c r="F44" s="15"/>
      <c r="G44" s="15"/>
      <c r="H44" s="14"/>
      <c r="I44" s="14"/>
      <c r="J44" s="14"/>
      <c r="K44" s="14"/>
      <c r="L44" s="15"/>
      <c r="M44" s="14"/>
      <c r="N44" s="14"/>
      <c r="O44" s="14"/>
      <c r="P44" s="14"/>
      <c r="Q44" s="12">
        <v>9000</v>
      </c>
      <c r="R44" s="191">
        <v>9000</v>
      </c>
      <c r="S44" s="131"/>
      <c r="T44" s="106"/>
    </row>
    <row x14ac:dyDescent="0.25" r="45" customHeight="1" ht="18">
      <c r="A45" s="179"/>
      <c r="B45" s="194"/>
      <c r="C45" s="183"/>
      <c r="D45" s="183"/>
      <c r="E45" s="267"/>
      <c r="F45" s="183"/>
      <c r="G45" s="183"/>
      <c r="H45" s="182"/>
      <c r="I45" s="182"/>
      <c r="J45" s="182"/>
      <c r="K45" s="182"/>
      <c r="L45" s="183"/>
      <c r="M45" s="182"/>
      <c r="N45" s="182"/>
      <c r="O45" s="182"/>
      <c r="P45" s="182"/>
      <c r="Q45" s="183"/>
      <c r="R45" s="183"/>
      <c r="S45" s="184"/>
      <c r="T45" s="186"/>
    </row>
    <row x14ac:dyDescent="0.25" r="46" customHeight="1" ht="18">
      <c r="A46" s="107">
        <v>33</v>
      </c>
      <c r="B46" s="139" t="s">
        <v>182</v>
      </c>
      <c r="C46" s="15" t="s">
        <v>183</v>
      </c>
      <c r="D46" s="15"/>
      <c r="E46" s="57"/>
      <c r="F46" s="15"/>
      <c r="G46" s="15"/>
      <c r="H46" s="14"/>
      <c r="I46" s="14"/>
      <c r="J46" s="14"/>
      <c r="K46" s="14"/>
      <c r="L46" s="15"/>
      <c r="M46" s="14"/>
      <c r="N46" s="14"/>
      <c r="O46" s="14"/>
      <c r="P46" s="14"/>
      <c r="Q46" s="12">
        <v>9000</v>
      </c>
      <c r="R46" s="12">
        <v>9000</v>
      </c>
      <c r="S46" s="112"/>
      <c r="T46" s="106"/>
    </row>
    <row x14ac:dyDescent="0.25" r="47" customHeight="1" ht="18">
      <c r="A47" s="107">
        <v>34</v>
      </c>
      <c r="B47" s="139" t="s">
        <v>184</v>
      </c>
      <c r="C47" s="15" t="s">
        <v>185</v>
      </c>
      <c r="D47" s="15"/>
      <c r="E47" s="57"/>
      <c r="F47" s="15"/>
      <c r="G47" s="15"/>
      <c r="H47" s="14"/>
      <c r="I47" s="14"/>
      <c r="J47" s="14"/>
      <c r="K47" s="14"/>
      <c r="L47" s="15"/>
      <c r="M47" s="14"/>
      <c r="N47" s="14"/>
      <c r="O47" s="14"/>
      <c r="P47" s="14"/>
      <c r="Q47" s="12">
        <v>9000</v>
      </c>
      <c r="R47" s="12">
        <v>9000</v>
      </c>
      <c r="S47" s="112"/>
      <c r="T47" s="106"/>
    </row>
    <row x14ac:dyDescent="0.25" r="48" customHeight="1" ht="18">
      <c r="A48" s="107">
        <v>35</v>
      </c>
      <c r="B48" s="139" t="s">
        <v>186</v>
      </c>
      <c r="C48" s="15" t="s">
        <v>187</v>
      </c>
      <c r="D48" s="15"/>
      <c r="E48" s="57"/>
      <c r="F48" s="15"/>
      <c r="G48" s="15"/>
      <c r="H48" s="14"/>
      <c r="I48" s="14"/>
      <c r="J48" s="14"/>
      <c r="K48" s="14"/>
      <c r="L48" s="15"/>
      <c r="M48" s="14"/>
      <c r="N48" s="14"/>
      <c r="O48" s="14"/>
      <c r="P48" s="14"/>
      <c r="Q48" s="12">
        <v>8500</v>
      </c>
      <c r="R48" s="12">
        <v>8500</v>
      </c>
      <c r="S48" s="112"/>
      <c r="T48" s="106"/>
    </row>
    <row x14ac:dyDescent="0.25" r="49" customHeight="1" ht="18">
      <c r="A49" s="179"/>
      <c r="B49" s="180"/>
      <c r="C49" s="183"/>
      <c r="D49" s="183"/>
      <c r="E49" s="267"/>
      <c r="F49" s="183"/>
      <c r="G49" s="183"/>
      <c r="H49" s="182"/>
      <c r="I49" s="182"/>
      <c r="J49" s="182"/>
      <c r="K49" s="182"/>
      <c r="L49" s="183"/>
      <c r="M49" s="182"/>
      <c r="N49" s="182"/>
      <c r="O49" s="182"/>
      <c r="P49" s="182"/>
      <c r="Q49" s="183"/>
      <c r="R49" s="183"/>
      <c r="S49" s="184"/>
      <c r="T49" s="186"/>
    </row>
    <row x14ac:dyDescent="0.25" r="50" customHeight="1" ht="18">
      <c r="A50" s="107">
        <v>35</v>
      </c>
      <c r="B50" s="139" t="s">
        <v>188</v>
      </c>
      <c r="C50" s="15" t="s">
        <v>189</v>
      </c>
      <c r="D50" s="15"/>
      <c r="E50" s="57"/>
      <c r="F50" s="15"/>
      <c r="G50" s="15"/>
      <c r="H50" s="14"/>
      <c r="I50" s="14"/>
      <c r="J50" s="14"/>
      <c r="K50" s="14"/>
      <c r="L50" s="15"/>
      <c r="M50" s="14"/>
      <c r="N50" s="14"/>
      <c r="O50" s="14"/>
      <c r="P50" s="14"/>
      <c r="Q50" s="114"/>
      <c r="R50" s="12">
        <v>8000</v>
      </c>
      <c r="S50" s="112"/>
      <c r="T50" s="106"/>
    </row>
    <row x14ac:dyDescent="0.25" r="51" customHeight="1" ht="18">
      <c r="A51" s="107">
        <v>37</v>
      </c>
      <c r="B51" s="139" t="s">
        <v>190</v>
      </c>
      <c r="C51" s="15" t="s">
        <v>99</v>
      </c>
      <c r="D51" s="15"/>
      <c r="E51" s="57"/>
      <c r="F51" s="15"/>
      <c r="G51" s="15"/>
      <c r="H51" s="14"/>
      <c r="I51" s="14"/>
      <c r="J51" s="14"/>
      <c r="K51" s="14"/>
      <c r="L51" s="15"/>
      <c r="M51" s="14"/>
      <c r="N51" s="14"/>
      <c r="O51" s="14"/>
      <c r="P51" s="14"/>
      <c r="Q51" s="114"/>
      <c r="R51" s="12">
        <v>8000</v>
      </c>
      <c r="S51" s="112"/>
      <c r="T51" s="106"/>
    </row>
    <row x14ac:dyDescent="0.25" r="52" customHeight="1" ht="18">
      <c r="A52" s="107">
        <v>38</v>
      </c>
      <c r="B52" s="139" t="s">
        <v>191</v>
      </c>
      <c r="C52" s="15" t="s">
        <v>192</v>
      </c>
      <c r="D52" s="15"/>
      <c r="E52" s="57"/>
      <c r="F52" s="15"/>
      <c r="G52" s="15"/>
      <c r="H52" s="14"/>
      <c r="I52" s="14"/>
      <c r="J52" s="14"/>
      <c r="K52" s="14"/>
      <c r="L52" s="15"/>
      <c r="M52" s="14"/>
      <c r="N52" s="14"/>
      <c r="O52" s="14"/>
      <c r="P52" s="14"/>
      <c r="Q52" s="12">
        <v>8000</v>
      </c>
      <c r="R52" s="12">
        <v>8000</v>
      </c>
      <c r="S52" s="112"/>
      <c r="T52" s="106"/>
    </row>
    <row x14ac:dyDescent="0.25" r="53" customHeight="1" ht="18">
      <c r="A53" s="122">
        <v>39</v>
      </c>
      <c r="B53" s="115" t="s">
        <v>193</v>
      </c>
      <c r="C53" s="15" t="s">
        <v>194</v>
      </c>
      <c r="D53" s="15"/>
      <c r="E53" s="57"/>
      <c r="F53" s="15"/>
      <c r="G53" s="15"/>
      <c r="H53" s="14"/>
      <c r="I53" s="14"/>
      <c r="J53" s="14"/>
      <c r="K53" s="14"/>
      <c r="L53" s="15"/>
      <c r="M53" s="14"/>
      <c r="N53" s="14"/>
      <c r="O53" s="14"/>
      <c r="P53" s="14"/>
      <c r="Q53" s="12"/>
      <c r="R53" s="12">
        <v>8000</v>
      </c>
      <c r="S53" s="127"/>
      <c r="T53" s="106"/>
    </row>
    <row x14ac:dyDescent="0.25" r="54" customHeight="1" ht="18">
      <c r="A54" s="179"/>
      <c r="B54" s="180"/>
      <c r="C54" s="183"/>
      <c r="D54" s="183"/>
      <c r="E54" s="267"/>
      <c r="F54" s="183"/>
      <c r="G54" s="183"/>
      <c r="H54" s="182"/>
      <c r="I54" s="182"/>
      <c r="J54" s="182"/>
      <c r="K54" s="182"/>
      <c r="L54" s="183"/>
      <c r="M54" s="182"/>
      <c r="N54" s="182"/>
      <c r="O54" s="182"/>
      <c r="P54" s="182"/>
      <c r="Q54" s="183"/>
      <c r="R54" s="183"/>
      <c r="S54" s="184"/>
      <c r="T54" s="186"/>
    </row>
    <row x14ac:dyDescent="0.25" r="55" customHeight="1" ht="18">
      <c r="A55" s="107">
        <v>40</v>
      </c>
      <c r="B55" s="139" t="s">
        <v>195</v>
      </c>
      <c r="C55" s="15" t="s">
        <v>196</v>
      </c>
      <c r="D55" s="15"/>
      <c r="E55" s="57"/>
      <c r="F55" s="15"/>
      <c r="G55" s="15"/>
      <c r="H55" s="14"/>
      <c r="I55" s="14"/>
      <c r="J55" s="14"/>
      <c r="K55" s="14"/>
      <c r="L55" s="15"/>
      <c r="M55" s="14"/>
      <c r="N55" s="14"/>
      <c r="O55" s="14"/>
      <c r="P55" s="14"/>
      <c r="Q55" s="12">
        <v>8300</v>
      </c>
      <c r="R55" s="12">
        <v>8500</v>
      </c>
      <c r="S55" s="112"/>
      <c r="T55" s="106"/>
    </row>
    <row x14ac:dyDescent="0.25" r="56" customHeight="1" ht="18">
      <c r="A56" s="107">
        <v>41</v>
      </c>
      <c r="B56" s="139" t="s">
        <v>197</v>
      </c>
      <c r="C56" s="15" t="s">
        <v>198</v>
      </c>
      <c r="D56" s="15"/>
      <c r="E56" s="57"/>
      <c r="F56" s="15"/>
      <c r="G56" s="15"/>
      <c r="H56" s="14"/>
      <c r="I56" s="14"/>
      <c r="J56" s="14"/>
      <c r="K56" s="14"/>
      <c r="L56" s="15"/>
      <c r="M56" s="14"/>
      <c r="N56" s="14"/>
      <c r="O56" s="14"/>
      <c r="P56" s="14"/>
      <c r="Q56" s="12">
        <v>8500</v>
      </c>
      <c r="R56" s="12">
        <v>8500</v>
      </c>
      <c r="S56" s="112"/>
      <c r="T56" s="106"/>
    </row>
    <row x14ac:dyDescent="0.25" r="57" customHeight="1" ht="18">
      <c r="A57" s="107">
        <v>42</v>
      </c>
      <c r="B57" s="115" t="s">
        <v>199</v>
      </c>
      <c r="C57" s="15" t="s">
        <v>200</v>
      </c>
      <c r="D57" s="15"/>
      <c r="E57" s="57"/>
      <c r="F57" s="15"/>
      <c r="G57" s="15"/>
      <c r="H57" s="14"/>
      <c r="I57" s="14"/>
      <c r="J57" s="14"/>
      <c r="K57" s="14"/>
      <c r="L57" s="15"/>
      <c r="M57" s="14"/>
      <c r="N57" s="14"/>
      <c r="O57" s="14"/>
      <c r="P57" s="14"/>
      <c r="Q57" s="12">
        <v>8000</v>
      </c>
      <c r="R57" s="12">
        <v>8500</v>
      </c>
      <c r="S57" s="112"/>
      <c r="T57" s="106"/>
    </row>
    <row x14ac:dyDescent="0.25" r="58" customHeight="1" ht="18">
      <c r="A58" s="179"/>
      <c r="B58" s="194"/>
      <c r="C58" s="183"/>
      <c r="D58" s="183"/>
      <c r="E58" s="267"/>
      <c r="F58" s="183"/>
      <c r="G58" s="183"/>
      <c r="H58" s="182"/>
      <c r="I58" s="182"/>
      <c r="J58" s="182"/>
      <c r="K58" s="182"/>
      <c r="L58" s="183"/>
      <c r="M58" s="182"/>
      <c r="N58" s="182"/>
      <c r="O58" s="182"/>
      <c r="P58" s="182"/>
      <c r="Q58" s="183"/>
      <c r="R58" s="183"/>
      <c r="S58" s="184"/>
      <c r="T58" s="186"/>
    </row>
    <row x14ac:dyDescent="0.25" r="59" customHeight="1" ht="18">
      <c r="A59" s="107">
        <v>43</v>
      </c>
      <c r="B59" s="108" t="s">
        <v>201</v>
      </c>
      <c r="C59" s="15" t="s">
        <v>202</v>
      </c>
      <c r="D59" s="15"/>
      <c r="E59" s="57"/>
      <c r="F59" s="15"/>
      <c r="G59" s="15"/>
      <c r="H59" s="14"/>
      <c r="I59" s="14"/>
      <c r="J59" s="14"/>
      <c r="K59" s="14"/>
      <c r="L59" s="15"/>
      <c r="M59" s="14"/>
      <c r="N59" s="14"/>
      <c r="O59" s="14"/>
      <c r="P59" s="14"/>
      <c r="Q59" s="12">
        <v>8500</v>
      </c>
      <c r="R59" s="12">
        <v>8500</v>
      </c>
      <c r="S59" s="112"/>
      <c r="T59" s="106"/>
    </row>
    <row x14ac:dyDescent="0.25" r="60" customHeight="1" ht="18">
      <c r="A60" s="107">
        <v>44</v>
      </c>
      <c r="B60" s="139" t="s">
        <v>203</v>
      </c>
      <c r="C60" s="15" t="s">
        <v>204</v>
      </c>
      <c r="D60" s="15"/>
      <c r="E60" s="57"/>
      <c r="F60" s="15"/>
      <c r="G60" s="15"/>
      <c r="H60" s="14"/>
      <c r="I60" s="14"/>
      <c r="J60" s="14"/>
      <c r="K60" s="14"/>
      <c r="L60" s="15"/>
      <c r="M60" s="14"/>
      <c r="N60" s="14"/>
      <c r="O60" s="14"/>
      <c r="P60" s="14"/>
      <c r="Q60" s="12">
        <v>8500</v>
      </c>
      <c r="R60" s="12">
        <v>8500</v>
      </c>
      <c r="S60" s="112"/>
      <c r="T60" s="106"/>
    </row>
    <row x14ac:dyDescent="0.25" r="61" customHeight="1" ht="18">
      <c r="A61" s="107">
        <v>45</v>
      </c>
      <c r="B61" s="139" t="s">
        <v>205</v>
      </c>
      <c r="C61" s="15" t="s">
        <v>206</v>
      </c>
      <c r="D61" s="15"/>
      <c r="E61" s="57"/>
      <c r="F61" s="15"/>
      <c r="G61" s="15"/>
      <c r="H61" s="14"/>
      <c r="I61" s="14"/>
      <c r="J61" s="14"/>
      <c r="K61" s="14"/>
      <c r="L61" s="15"/>
      <c r="M61" s="14"/>
      <c r="N61" s="14"/>
      <c r="O61" s="14"/>
      <c r="P61" s="14"/>
      <c r="Q61" s="114"/>
      <c r="R61" s="12">
        <v>8700</v>
      </c>
      <c r="S61" s="112"/>
      <c r="T61" s="106"/>
    </row>
    <row x14ac:dyDescent="0.25" r="62" customHeight="1" ht="18">
      <c r="A62" s="177" t="s">
        <v>207</v>
      </c>
      <c r="B62" s="178">
        <v>14</v>
      </c>
      <c r="C62" s="105"/>
      <c r="D62" s="105"/>
      <c r="E62" s="227"/>
      <c r="F62" s="105"/>
      <c r="G62" s="105"/>
      <c r="H62" s="104"/>
      <c r="I62" s="104"/>
      <c r="J62" s="104"/>
      <c r="K62" s="104"/>
      <c r="L62" s="105"/>
      <c r="M62" s="104"/>
      <c r="N62" s="104"/>
      <c r="O62" s="104"/>
      <c r="P62" s="104"/>
      <c r="Q62" s="105"/>
      <c r="R62" s="105"/>
      <c r="S62" s="104"/>
      <c r="T62" s="106"/>
    </row>
    <row x14ac:dyDescent="0.25" r="63" customHeight="1" ht="18">
      <c r="A63" s="107">
        <v>46</v>
      </c>
      <c r="B63" s="139" t="s">
        <v>208</v>
      </c>
      <c r="C63" s="15" t="s">
        <v>209</v>
      </c>
      <c r="D63" s="15"/>
      <c r="E63" s="57"/>
      <c r="F63" s="15"/>
      <c r="G63" s="15"/>
      <c r="H63" s="14"/>
      <c r="I63" s="14"/>
      <c r="J63" s="14"/>
      <c r="K63" s="14"/>
      <c r="L63" s="15"/>
      <c r="M63" s="14"/>
      <c r="N63" s="14"/>
      <c r="O63" s="14"/>
      <c r="P63" s="14"/>
      <c r="Q63" s="12">
        <v>11500</v>
      </c>
      <c r="R63" s="12">
        <v>11500</v>
      </c>
      <c r="S63" s="112"/>
      <c r="T63" s="106"/>
    </row>
    <row x14ac:dyDescent="0.25" r="64" customHeight="1" ht="18">
      <c r="A64" s="122">
        <v>47</v>
      </c>
      <c r="B64" s="115" t="s">
        <v>210</v>
      </c>
      <c r="C64" s="15" t="s">
        <v>211</v>
      </c>
      <c r="D64" s="15"/>
      <c r="E64" s="57"/>
      <c r="F64" s="15"/>
      <c r="G64" s="15"/>
      <c r="H64" s="14"/>
      <c r="I64" s="14"/>
      <c r="J64" s="14"/>
      <c r="K64" s="14"/>
      <c r="L64" s="15"/>
      <c r="M64" s="14"/>
      <c r="N64" s="14"/>
      <c r="O64" s="14"/>
      <c r="P64" s="14"/>
      <c r="Q64" s="114"/>
      <c r="R64" s="12">
        <v>10750</v>
      </c>
      <c r="S64" s="112"/>
      <c r="T64" s="106"/>
    </row>
    <row x14ac:dyDescent="0.25" r="65" customHeight="1" ht="18">
      <c r="A65" s="179"/>
      <c r="B65" s="180"/>
      <c r="C65" s="183"/>
      <c r="D65" s="183"/>
      <c r="E65" s="267"/>
      <c r="F65" s="183"/>
      <c r="G65" s="183"/>
      <c r="H65" s="182"/>
      <c r="I65" s="182"/>
      <c r="J65" s="182"/>
      <c r="K65" s="182"/>
      <c r="L65" s="183"/>
      <c r="M65" s="182"/>
      <c r="N65" s="182"/>
      <c r="O65" s="182"/>
      <c r="P65" s="182"/>
      <c r="Q65" s="183"/>
      <c r="R65" s="183"/>
      <c r="S65" s="184"/>
      <c r="T65" s="186"/>
    </row>
    <row x14ac:dyDescent="0.25" r="66" customHeight="1" ht="18">
      <c r="A66" s="107">
        <v>48</v>
      </c>
      <c r="B66" s="139" t="s">
        <v>212</v>
      </c>
      <c r="C66" s="15" t="s">
        <v>110</v>
      </c>
      <c r="D66" s="15"/>
      <c r="E66" s="57"/>
      <c r="F66" s="15"/>
      <c r="G66" s="15"/>
      <c r="H66" s="14"/>
      <c r="I66" s="14"/>
      <c r="J66" s="14"/>
      <c r="K66" s="14"/>
      <c r="L66" s="15"/>
      <c r="M66" s="14"/>
      <c r="N66" s="14"/>
      <c r="O66" s="14"/>
      <c r="P66" s="14"/>
      <c r="Q66" s="12">
        <v>5000</v>
      </c>
      <c r="R66" s="12">
        <v>10500</v>
      </c>
      <c r="S66" s="140"/>
      <c r="T66" s="106"/>
    </row>
    <row x14ac:dyDescent="0.25" r="67" customHeight="1" ht="18">
      <c r="A67" s="122">
        <v>49</v>
      </c>
      <c r="B67" s="115" t="s">
        <v>213</v>
      </c>
      <c r="C67" s="15" t="s">
        <v>214</v>
      </c>
      <c r="D67" s="15"/>
      <c r="E67" s="57"/>
      <c r="F67" s="15"/>
      <c r="G67" s="15"/>
      <c r="H67" s="14"/>
      <c r="I67" s="14"/>
      <c r="J67" s="14"/>
      <c r="K67" s="14"/>
      <c r="L67" s="15"/>
      <c r="M67" s="14"/>
      <c r="N67" s="14"/>
      <c r="O67" s="14"/>
      <c r="P67" s="14"/>
      <c r="Q67" s="12">
        <v>10500</v>
      </c>
      <c r="R67" s="12">
        <v>10500</v>
      </c>
      <c r="S67" s="127"/>
      <c r="T67" s="138"/>
    </row>
    <row x14ac:dyDescent="0.25" r="68" customHeight="1" ht="18">
      <c r="A68" s="122">
        <v>50</v>
      </c>
      <c r="B68" s="209" t="s">
        <v>215</v>
      </c>
      <c r="C68" s="15" t="s">
        <v>216</v>
      </c>
      <c r="D68" s="15"/>
      <c r="E68" s="57"/>
      <c r="F68" s="15"/>
      <c r="G68" s="15"/>
      <c r="H68" s="14"/>
      <c r="I68" s="14"/>
      <c r="J68" s="14"/>
      <c r="K68" s="14"/>
      <c r="L68" s="15"/>
      <c r="M68" s="14"/>
      <c r="N68" s="14"/>
      <c r="O68" s="14"/>
      <c r="P68" s="14"/>
      <c r="Q68" s="12">
        <v>10500</v>
      </c>
      <c r="R68" s="12">
        <v>10500</v>
      </c>
      <c r="S68" s="125"/>
      <c r="T68" s="138"/>
    </row>
    <row x14ac:dyDescent="0.25" r="69" customHeight="1" ht="18">
      <c r="A69" s="179"/>
      <c r="B69" s="211"/>
      <c r="C69" s="183"/>
      <c r="D69" s="183"/>
      <c r="E69" s="267"/>
      <c r="F69" s="183"/>
      <c r="G69" s="183"/>
      <c r="H69" s="182"/>
      <c r="I69" s="182"/>
      <c r="J69" s="182"/>
      <c r="K69" s="182"/>
      <c r="L69" s="183"/>
      <c r="M69" s="182"/>
      <c r="N69" s="182"/>
      <c r="O69" s="182"/>
      <c r="P69" s="182"/>
      <c r="Q69" s="183"/>
      <c r="R69" s="183"/>
      <c r="S69" s="184"/>
      <c r="T69" s="186"/>
    </row>
    <row x14ac:dyDescent="0.25" r="70" customHeight="1" ht="18">
      <c r="A70" s="107">
        <v>51</v>
      </c>
      <c r="B70" s="139" t="s">
        <v>217</v>
      </c>
      <c r="C70" s="15" t="s">
        <v>218</v>
      </c>
      <c r="D70" s="15"/>
      <c r="E70" s="57"/>
      <c r="F70" s="15"/>
      <c r="G70" s="15"/>
      <c r="H70" s="14"/>
      <c r="I70" s="14"/>
      <c r="J70" s="14"/>
      <c r="K70" s="14"/>
      <c r="L70" s="15"/>
      <c r="M70" s="14"/>
      <c r="N70" s="14"/>
      <c r="O70" s="14"/>
      <c r="P70" s="14"/>
      <c r="Q70" s="114"/>
      <c r="R70" s="12">
        <v>8800</v>
      </c>
      <c r="S70" s="112"/>
      <c r="T70" s="106"/>
    </row>
    <row x14ac:dyDescent="0.25" r="71" customHeight="1" ht="18">
      <c r="A71" s="122">
        <v>52</v>
      </c>
      <c r="B71" s="115" t="s">
        <v>219</v>
      </c>
      <c r="C71" s="15" t="s">
        <v>220</v>
      </c>
      <c r="D71" s="15"/>
      <c r="E71" s="57"/>
      <c r="F71" s="15"/>
      <c r="G71" s="15"/>
      <c r="H71" s="14"/>
      <c r="I71" s="14"/>
      <c r="J71" s="14"/>
      <c r="K71" s="14"/>
      <c r="L71" s="15"/>
      <c r="M71" s="14"/>
      <c r="N71" s="14"/>
      <c r="O71" s="14"/>
      <c r="P71" s="14"/>
      <c r="Q71" s="114"/>
      <c r="R71" s="12">
        <v>8800</v>
      </c>
      <c r="S71" s="125"/>
      <c r="T71" s="213"/>
    </row>
    <row x14ac:dyDescent="0.25" r="72" customHeight="1" ht="18">
      <c r="A72" s="122">
        <v>53</v>
      </c>
      <c r="B72" s="115" t="s">
        <v>221</v>
      </c>
      <c r="C72" s="15" t="s">
        <v>222</v>
      </c>
      <c r="D72" s="15"/>
      <c r="E72" s="57"/>
      <c r="F72" s="15"/>
      <c r="G72" s="15"/>
      <c r="H72" s="14"/>
      <c r="I72" s="14"/>
      <c r="J72" s="14"/>
      <c r="K72" s="14"/>
      <c r="L72" s="15"/>
      <c r="M72" s="14"/>
      <c r="N72" s="14"/>
      <c r="O72" s="14"/>
      <c r="P72" s="14"/>
      <c r="Q72" s="12">
        <v>9000</v>
      </c>
      <c r="R72" s="12">
        <v>9000</v>
      </c>
      <c r="S72" s="138"/>
      <c r="T72" s="138"/>
    </row>
    <row x14ac:dyDescent="0.25" r="73" customHeight="1" ht="18">
      <c r="A73" s="122">
        <v>30</v>
      </c>
      <c r="B73" s="115" t="s">
        <v>223</v>
      </c>
      <c r="C73" s="15" t="s">
        <v>224</v>
      </c>
      <c r="D73" s="15"/>
      <c r="E73" s="57"/>
      <c r="F73" s="15"/>
      <c r="G73" s="15"/>
      <c r="H73" s="14"/>
      <c r="I73" s="14"/>
      <c r="J73" s="14"/>
      <c r="K73" s="14"/>
      <c r="L73" s="15"/>
      <c r="M73" s="14"/>
      <c r="N73" s="14"/>
      <c r="O73" s="14"/>
      <c r="P73" s="14"/>
      <c r="Q73" s="114"/>
      <c r="R73" s="12">
        <v>8800</v>
      </c>
      <c r="S73" s="138"/>
      <c r="T73" s="138"/>
    </row>
    <row x14ac:dyDescent="0.25" r="74" customHeight="1" ht="18">
      <c r="A74" s="179"/>
      <c r="B74" s="180"/>
      <c r="C74" s="183"/>
      <c r="D74" s="183"/>
      <c r="E74" s="267"/>
      <c r="F74" s="183"/>
      <c r="G74" s="183"/>
      <c r="H74" s="182"/>
      <c r="I74" s="182"/>
      <c r="J74" s="182"/>
      <c r="K74" s="182"/>
      <c r="L74" s="183"/>
      <c r="M74" s="182"/>
      <c r="N74" s="182"/>
      <c r="O74" s="182"/>
      <c r="P74" s="182"/>
      <c r="Q74" s="212"/>
      <c r="R74" s="212"/>
      <c r="S74" s="186"/>
      <c r="T74" s="186"/>
    </row>
    <row x14ac:dyDescent="0.25" r="75" customHeight="1" ht="18">
      <c r="A75" s="122">
        <v>55</v>
      </c>
      <c r="B75" s="139" t="s">
        <v>225</v>
      </c>
      <c r="C75" s="15" t="s">
        <v>226</v>
      </c>
      <c r="D75" s="15"/>
      <c r="E75" s="57"/>
      <c r="F75" s="15"/>
      <c r="G75" s="15"/>
      <c r="H75" s="14"/>
      <c r="I75" s="14"/>
      <c r="J75" s="14"/>
      <c r="K75" s="14"/>
      <c r="L75" s="15"/>
      <c r="M75" s="14"/>
      <c r="N75" s="14"/>
      <c r="O75" s="14"/>
      <c r="P75" s="14"/>
      <c r="Q75" s="114"/>
      <c r="R75" s="12">
        <v>5000</v>
      </c>
      <c r="S75" s="131"/>
      <c r="T75" s="106"/>
    </row>
    <row x14ac:dyDescent="0.25" r="76" customHeight="1" ht="18">
      <c r="A76" s="107">
        <v>56</v>
      </c>
      <c r="B76" s="115" t="s">
        <v>227</v>
      </c>
      <c r="C76" s="15" t="s">
        <v>228</v>
      </c>
      <c r="D76" s="15"/>
      <c r="E76" s="57"/>
      <c r="F76" s="15"/>
      <c r="G76" s="15"/>
      <c r="H76" s="14"/>
      <c r="I76" s="14"/>
      <c r="J76" s="14"/>
      <c r="K76" s="14"/>
      <c r="L76" s="15"/>
      <c r="M76" s="14"/>
      <c r="N76" s="14"/>
      <c r="O76" s="14"/>
      <c r="P76" s="14"/>
      <c r="Q76" s="114"/>
      <c r="R76" s="12">
        <v>8800</v>
      </c>
      <c r="S76" s="112"/>
      <c r="T76" s="106"/>
    </row>
    <row x14ac:dyDescent="0.25" r="77" customHeight="1" ht="18">
      <c r="A77" s="107">
        <v>57</v>
      </c>
      <c r="B77" s="139" t="s">
        <v>229</v>
      </c>
      <c r="C77" s="15" t="s">
        <v>230</v>
      </c>
      <c r="D77" s="15"/>
      <c r="E77" s="57"/>
      <c r="F77" s="15"/>
      <c r="G77" s="15"/>
      <c r="H77" s="14"/>
      <c r="I77" s="14"/>
      <c r="J77" s="14"/>
      <c r="K77" s="14"/>
      <c r="L77" s="15"/>
      <c r="M77" s="14"/>
      <c r="N77" s="14"/>
      <c r="O77" s="14"/>
      <c r="P77" s="14"/>
      <c r="Q77" s="114"/>
      <c r="R77" s="12">
        <v>8800</v>
      </c>
      <c r="S77" s="112"/>
      <c r="T77" s="106" t="s">
        <v>231</v>
      </c>
    </row>
    <row x14ac:dyDescent="0.25" r="78" customHeight="1" ht="18">
      <c r="A78" s="122">
        <v>58</v>
      </c>
      <c r="B78" s="115" t="s">
        <v>232</v>
      </c>
      <c r="C78" s="15" t="s">
        <v>233</v>
      </c>
      <c r="D78" s="15"/>
      <c r="E78" s="57"/>
      <c r="F78" s="15"/>
      <c r="G78" s="15"/>
      <c r="H78" s="14"/>
      <c r="I78" s="14"/>
      <c r="J78" s="14"/>
      <c r="K78" s="14"/>
      <c r="L78" s="15"/>
      <c r="M78" s="14"/>
      <c r="N78" s="14"/>
      <c r="O78" s="14"/>
      <c r="P78" s="14"/>
      <c r="Q78" s="114"/>
      <c r="R78" s="12">
        <v>8800</v>
      </c>
      <c r="S78" s="127"/>
      <c r="T78" s="138"/>
    </row>
    <row x14ac:dyDescent="0.25" r="79" customHeight="1" ht="18">
      <c r="A79" s="122">
        <v>59</v>
      </c>
      <c r="B79" s="156" t="s">
        <v>234</v>
      </c>
      <c r="C79" s="15" t="s">
        <v>235</v>
      </c>
      <c r="D79" s="15"/>
      <c r="E79" s="57"/>
      <c r="F79" s="15"/>
      <c r="G79" s="15"/>
      <c r="H79" s="14"/>
      <c r="I79" s="14"/>
      <c r="J79" s="14"/>
      <c r="K79" s="14"/>
      <c r="L79" s="15"/>
      <c r="M79" s="14"/>
      <c r="N79" s="14"/>
      <c r="O79" s="14"/>
      <c r="P79" s="14"/>
      <c r="Q79" s="114"/>
      <c r="R79" s="12">
        <v>8800</v>
      </c>
      <c r="S79" s="125"/>
      <c r="T79" s="218"/>
    </row>
    <row x14ac:dyDescent="0.25" r="80" customHeight="1" ht="18">
      <c r="A80" s="122">
        <v>60</v>
      </c>
      <c r="B80" s="156" t="s">
        <v>236</v>
      </c>
      <c r="C80" s="15" t="s">
        <v>237</v>
      </c>
      <c r="D80" s="15"/>
      <c r="E80" s="57"/>
      <c r="F80" s="15"/>
      <c r="G80" s="15"/>
      <c r="H80" s="14"/>
      <c r="I80" s="14"/>
      <c r="J80" s="14"/>
      <c r="K80" s="14"/>
      <c r="L80" s="15"/>
      <c r="M80" s="14"/>
      <c r="N80" s="14"/>
      <c r="O80" s="14"/>
      <c r="P80" s="14"/>
      <c r="Q80" s="114"/>
      <c r="R80" s="12">
        <v>8800</v>
      </c>
      <c r="S80" s="127"/>
      <c r="T80" s="106"/>
    </row>
    <row x14ac:dyDescent="0.25" r="81" customHeight="1" ht="18">
      <c r="A81" s="122">
        <v>61</v>
      </c>
      <c r="B81" s="115" t="s">
        <v>238</v>
      </c>
      <c r="C81" s="15" t="s">
        <v>239</v>
      </c>
      <c r="D81" s="15"/>
      <c r="E81" s="57"/>
      <c r="F81" s="15"/>
      <c r="G81" s="15"/>
      <c r="H81" s="14"/>
      <c r="I81" s="14"/>
      <c r="J81" s="14"/>
      <c r="K81" s="14"/>
      <c r="L81" s="15"/>
      <c r="M81" s="14"/>
      <c r="N81" s="14"/>
      <c r="O81" s="14"/>
      <c r="P81" s="14"/>
      <c r="Q81" s="114"/>
      <c r="R81" s="12">
        <v>8800</v>
      </c>
      <c r="S81" s="127"/>
      <c r="T81" s="106"/>
    </row>
    <row x14ac:dyDescent="0.25" r="82" customHeight="1" ht="18">
      <c r="A82" s="220"/>
      <c r="B82" s="221"/>
      <c r="C82" s="222">
        <v>60</v>
      </c>
      <c r="D82" s="221"/>
      <c r="E82" s="280"/>
      <c r="F82" s="221"/>
      <c r="G82" s="221"/>
      <c r="H82" s="223"/>
      <c r="I82" s="223"/>
      <c r="J82" s="223"/>
      <c r="K82" s="223"/>
      <c r="L82" s="221"/>
      <c r="M82" s="223"/>
      <c r="N82" s="223"/>
      <c r="O82" s="223"/>
      <c r="P82" s="223"/>
      <c r="Q82" s="224">
        <f>SUM(Q3:Q80)</f>
      </c>
      <c r="R82" s="224">
        <f>SUM(R3:R80)</f>
      </c>
      <c r="S82" s="223"/>
      <c r="T82" s="151"/>
    </row>
    <row x14ac:dyDescent="0.25" r="83" customHeight="1" ht="18">
      <c r="A83" s="141"/>
      <c r="B83" s="141"/>
      <c r="C83" s="141"/>
      <c r="D83" s="141"/>
      <c r="E83" s="265"/>
      <c r="F83" s="141"/>
      <c r="G83" s="141"/>
      <c r="H83" s="106"/>
      <c r="I83" s="106"/>
      <c r="J83" s="106"/>
      <c r="K83" s="106"/>
      <c r="L83" s="141"/>
      <c r="M83" s="106"/>
      <c r="N83" s="106"/>
      <c r="O83" s="106"/>
      <c r="P83" s="106"/>
      <c r="Q83" s="141"/>
      <c r="R83" s="141"/>
      <c r="S83" s="106"/>
      <c r="T83" s="106"/>
    </row>
    <row x14ac:dyDescent="0.25" r="84" customHeight="1" ht="18">
      <c r="A84" s="225"/>
      <c r="B84" s="225"/>
      <c r="C84" s="141"/>
      <c r="D84" s="141"/>
      <c r="E84" s="265"/>
      <c r="F84" s="141"/>
      <c r="G84" s="141"/>
      <c r="H84" s="106"/>
      <c r="I84" s="106"/>
      <c r="J84" s="106"/>
      <c r="K84" s="106"/>
      <c r="L84" s="141"/>
      <c r="M84" s="106"/>
      <c r="N84" s="106"/>
      <c r="O84" s="106"/>
      <c r="P84" s="106"/>
      <c r="Q84" s="141"/>
      <c r="R84" s="141"/>
      <c r="S84" s="106"/>
      <c r="T84" s="106"/>
    </row>
    <row x14ac:dyDescent="0.25" r="85" customHeight="1" ht="18">
      <c r="A85" s="197"/>
      <c r="B85" s="197"/>
      <c r="C85" s="141"/>
      <c r="D85" s="141"/>
      <c r="E85" s="265"/>
      <c r="F85" s="141"/>
      <c r="G85" s="141"/>
      <c r="H85" s="106"/>
      <c r="I85" s="106"/>
      <c r="J85" s="106"/>
      <c r="K85" s="106"/>
      <c r="L85" s="141"/>
      <c r="M85" s="106"/>
      <c r="N85" s="106"/>
      <c r="O85" s="106"/>
      <c r="P85" s="106"/>
      <c r="Q85" s="141"/>
      <c r="R85" s="141"/>
      <c r="S85" s="106"/>
      <c r="T85" s="10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72"/>
  <sheetViews>
    <sheetView workbookViewId="0"/>
  </sheetViews>
  <sheetFormatPr defaultRowHeight="15" x14ac:dyDescent="0.25"/>
  <cols>
    <col min="1" max="1" style="17" width="13.005" customWidth="1" bestFit="1"/>
    <col min="2" max="2" style="17" width="10.290714285714287" customWidth="1" bestFit="1"/>
    <col min="3" max="3" style="17" width="16.290714285714284" customWidth="1" bestFit="1"/>
    <col min="4" max="4" style="17" width="16.290714285714284" customWidth="1" bestFit="1"/>
    <col min="5" max="5" style="79" width="16.290714285714284" customWidth="1" bestFit="1"/>
    <col min="6" max="6" style="17" width="16.290714285714284" customWidth="1" bestFit="1"/>
    <col min="7" max="7" style="16" width="16.290714285714284" customWidth="1" bestFit="1"/>
    <col min="8" max="8" style="16" width="16.290714285714284" customWidth="1" bestFit="1"/>
    <col min="9" max="9" style="16" width="16.290714285714284" customWidth="1" bestFit="1"/>
    <col min="10" max="10" style="16" width="16.290714285714284" customWidth="1" bestFit="1"/>
    <col min="11" max="11" style="17" width="16.290714285714284" customWidth="1" bestFit="1"/>
    <col min="12" max="12" style="16" width="16.290714285714284" customWidth="1" bestFit="1"/>
    <col min="13" max="13" style="16" width="39.29071428571429" customWidth="1" bestFit="1"/>
    <col min="14" max="14" style="16" width="16.290714285714284" customWidth="1" bestFit="1"/>
    <col min="15" max="15" style="16" width="6.2907142857142855" customWidth="1" bestFit="1"/>
    <col min="16" max="16" style="17" width="8.862142857142858" customWidth="1" bestFit="1"/>
    <col min="17" max="17" style="17" width="12.43357142857143" customWidth="1" bestFit="1"/>
    <col min="18" max="18" style="16" width="11.147857142857141" customWidth="1" bestFit="1"/>
    <col min="19" max="19" style="17" width="4.2907142857142855" customWidth="1" bestFit="1"/>
    <col min="20" max="20" style="16" width="53.43357142857143" customWidth="1" bestFit="1"/>
    <col min="21" max="21" style="16" width="13.005" customWidth="1" bestFit="1"/>
    <col min="22" max="22" style="16" width="13.005" customWidth="1" bestFit="1"/>
    <col min="23" max="23" style="16" width="13.005" customWidth="1" bestFit="1"/>
    <col min="24" max="24" style="16" width="13.005" customWidth="1" bestFit="1"/>
    <col min="25" max="25" style="16" width="13.005" customWidth="1" bestFit="1"/>
    <col min="26" max="26" style="16" width="13.005" customWidth="1" bestFit="1"/>
    <col min="27" max="27" style="16" width="13.005" customWidth="1" bestFit="1"/>
    <col min="28" max="28" style="16" width="13.005" customWidth="1" bestFit="1"/>
    <col min="29" max="29" style="16" width="13.005" customWidth="1" bestFit="1"/>
    <col min="30" max="30" style="16" width="13.005" customWidth="1" bestFit="1"/>
  </cols>
  <sheetData>
    <row x14ac:dyDescent="0.25" r="1" customHeight="1" ht="18">
      <c r="A1" s="96" t="s">
        <v>71</v>
      </c>
      <c r="B1" s="97" t="s">
        <v>72</v>
      </c>
      <c r="C1" s="97" t="s">
        <v>0</v>
      </c>
      <c r="D1" s="97" t="s">
        <v>73</v>
      </c>
      <c r="E1" s="226" t="s">
        <v>241</v>
      </c>
      <c r="F1" s="97" t="s">
        <v>242</v>
      </c>
      <c r="G1" s="99" t="s">
        <v>243</v>
      </c>
      <c r="H1" s="99" t="s">
        <v>244</v>
      </c>
      <c r="I1" s="99" t="s">
        <v>245</v>
      </c>
      <c r="J1" s="99" t="s">
        <v>246</v>
      </c>
      <c r="K1" s="97" t="s">
        <v>247</v>
      </c>
      <c r="L1" s="99" t="s">
        <v>248</v>
      </c>
      <c r="M1" s="99" t="s">
        <v>249</v>
      </c>
      <c r="N1" s="99"/>
      <c r="O1" s="99"/>
      <c r="P1" s="97" t="s">
        <v>74</v>
      </c>
      <c r="Q1" s="97" t="s">
        <v>75</v>
      </c>
      <c r="R1" s="99" t="s">
        <v>76</v>
      </c>
      <c r="S1" s="100">
        <v>46113</v>
      </c>
      <c r="T1" s="99" t="s">
        <v>2</v>
      </c>
      <c r="U1" s="7"/>
      <c r="V1" s="7"/>
      <c r="W1" s="7"/>
      <c r="X1" s="7"/>
      <c r="Y1" s="7"/>
      <c r="Z1" s="7"/>
      <c r="AA1" s="7"/>
      <c r="AB1" s="7"/>
      <c r="AC1" s="7"/>
      <c r="AD1" s="7"/>
    </row>
    <row x14ac:dyDescent="0.25" r="2" customHeight="1" ht="18">
      <c r="A2" s="101" t="s">
        <v>83</v>
      </c>
      <c r="B2" s="102">
        <v>4</v>
      </c>
      <c r="C2" s="103"/>
      <c r="D2" s="105"/>
      <c r="E2" s="227"/>
      <c r="F2" s="105"/>
      <c r="G2" s="104"/>
      <c r="H2" s="104"/>
      <c r="I2" s="104"/>
      <c r="J2" s="104"/>
      <c r="K2" s="105"/>
      <c r="L2" s="104"/>
      <c r="M2" s="104"/>
      <c r="N2" s="104"/>
      <c r="O2" s="104"/>
      <c r="P2" s="105"/>
      <c r="Q2" s="105"/>
      <c r="R2" s="104"/>
      <c r="S2" s="105"/>
      <c r="T2" s="106"/>
      <c r="U2" s="7"/>
      <c r="V2" s="7"/>
      <c r="W2" s="7"/>
      <c r="X2" s="7"/>
      <c r="Y2" s="7"/>
      <c r="Z2" s="7"/>
      <c r="AA2" s="7"/>
      <c r="AB2" s="7"/>
      <c r="AC2" s="7"/>
      <c r="AD2" s="7"/>
    </row>
    <row x14ac:dyDescent="0.25" r="3" customHeight="1" ht="18">
      <c r="A3" s="107">
        <v>1</v>
      </c>
      <c r="B3" s="108" t="s">
        <v>250</v>
      </c>
      <c r="C3" s="109"/>
      <c r="D3" s="228"/>
      <c r="E3" s="229"/>
      <c r="F3" s="228"/>
      <c r="G3" s="230"/>
      <c r="H3" s="230"/>
      <c r="I3" s="230"/>
      <c r="J3" s="230"/>
      <c r="K3" s="228"/>
      <c r="L3" s="230"/>
      <c r="M3" s="230"/>
      <c r="N3" s="230"/>
      <c r="O3" s="230"/>
      <c r="P3" s="111"/>
      <c r="Q3" s="111"/>
      <c r="R3" s="112"/>
      <c r="S3" s="113"/>
      <c r="T3" s="106"/>
      <c r="U3" s="7"/>
      <c r="V3" s="7"/>
      <c r="W3" s="7"/>
      <c r="X3" s="7"/>
      <c r="Y3" s="7"/>
      <c r="Z3" s="7"/>
      <c r="AA3" s="7"/>
      <c r="AB3" s="7"/>
      <c r="AC3" s="7"/>
      <c r="AD3" s="7"/>
    </row>
    <row x14ac:dyDescent="0.25" r="4" customHeight="1" ht="18">
      <c r="A4" s="107">
        <v>2</v>
      </c>
      <c r="B4" s="108" t="s">
        <v>251</v>
      </c>
      <c r="C4" s="90" t="s">
        <v>86</v>
      </c>
      <c r="D4" s="228">
        <v>9704558462</v>
      </c>
      <c r="E4" s="229">
        <v>45143</v>
      </c>
      <c r="F4" s="228">
        <v>76546389732</v>
      </c>
      <c r="G4" s="230" t="s">
        <v>252</v>
      </c>
      <c r="H4" s="230" t="s">
        <v>253</v>
      </c>
      <c r="I4" s="230" t="s">
        <v>254</v>
      </c>
      <c r="J4" s="230" t="s">
        <v>255</v>
      </c>
      <c r="K4" s="228">
        <v>9704558482</v>
      </c>
      <c r="L4" s="230" t="s">
        <v>256</v>
      </c>
      <c r="M4" s="230" t="s">
        <v>257</v>
      </c>
      <c r="N4" s="193"/>
      <c r="O4" s="110"/>
      <c r="P4" s="114"/>
      <c r="Q4" s="12">
        <v>8000</v>
      </c>
      <c r="R4" s="112"/>
      <c r="S4" s="113"/>
      <c r="T4" s="106"/>
      <c r="U4" s="7"/>
      <c r="V4" s="7"/>
      <c r="W4" s="7"/>
      <c r="X4" s="7"/>
      <c r="Y4" s="7"/>
      <c r="Z4" s="7"/>
      <c r="AA4" s="7"/>
      <c r="AB4" s="7"/>
      <c r="AC4" s="7"/>
      <c r="AD4" s="7"/>
    </row>
    <row x14ac:dyDescent="0.25" r="5" customHeight="1" ht="18">
      <c r="A5" s="107">
        <v>3</v>
      </c>
      <c r="B5" s="115" t="s">
        <v>258</v>
      </c>
      <c r="C5" s="90" t="s">
        <v>88</v>
      </c>
      <c r="D5" s="231"/>
      <c r="E5" s="232"/>
      <c r="F5" s="231"/>
      <c r="G5" s="193"/>
      <c r="H5" s="193"/>
      <c r="I5" s="193"/>
      <c r="J5" s="193"/>
      <c r="K5" s="231"/>
      <c r="L5" s="193"/>
      <c r="M5" s="193"/>
      <c r="N5" s="193"/>
      <c r="O5" s="110"/>
      <c r="P5" s="12">
        <v>8500</v>
      </c>
      <c r="Q5" s="12">
        <v>8500</v>
      </c>
      <c r="R5" s="112"/>
      <c r="S5" s="113"/>
      <c r="T5" s="106"/>
      <c r="U5" s="7"/>
      <c r="V5" s="7"/>
      <c r="W5" s="7"/>
      <c r="X5" s="7"/>
      <c r="Y5" s="7"/>
      <c r="Z5" s="7"/>
      <c r="AA5" s="7"/>
      <c r="AB5" s="7"/>
      <c r="AC5" s="7"/>
      <c r="AD5" s="7"/>
    </row>
    <row x14ac:dyDescent="0.25" r="6" customHeight="1" ht="18">
      <c r="A6" s="107">
        <v>4</v>
      </c>
      <c r="B6" s="115" t="s">
        <v>259</v>
      </c>
      <c r="C6" s="90" t="s">
        <v>90</v>
      </c>
      <c r="D6" s="231"/>
      <c r="E6" s="232"/>
      <c r="F6" s="231"/>
      <c r="G6" s="193"/>
      <c r="H6" s="193"/>
      <c r="I6" s="193"/>
      <c r="J6" s="193"/>
      <c r="K6" s="231"/>
      <c r="L6" s="193"/>
      <c r="M6" s="193"/>
      <c r="N6" s="193"/>
      <c r="O6" s="110"/>
      <c r="P6" s="12">
        <v>8500</v>
      </c>
      <c r="Q6" s="12">
        <v>10000</v>
      </c>
      <c r="R6" s="112"/>
      <c r="S6" s="113"/>
      <c r="T6" s="106"/>
      <c r="U6" s="7"/>
      <c r="V6" s="7"/>
      <c r="W6" s="7"/>
      <c r="X6" s="7"/>
      <c r="Y6" s="7"/>
      <c r="Z6" s="7"/>
      <c r="AA6" s="7"/>
      <c r="AB6" s="7"/>
      <c r="AC6" s="7"/>
      <c r="AD6" s="7"/>
    </row>
    <row x14ac:dyDescent="0.25" r="7" customHeight="1" ht="18">
      <c r="A7" s="107">
        <v>5</v>
      </c>
      <c r="B7" s="115" t="s">
        <v>260</v>
      </c>
      <c r="C7" s="90" t="s">
        <v>92</v>
      </c>
      <c r="D7" s="231"/>
      <c r="E7" s="232"/>
      <c r="F7" s="231"/>
      <c r="G7" s="193"/>
      <c r="H7" s="193"/>
      <c r="I7" s="193"/>
      <c r="J7" s="193"/>
      <c r="K7" s="231"/>
      <c r="L7" s="193"/>
      <c r="M7" s="193"/>
      <c r="N7" s="193"/>
      <c r="O7" s="110"/>
      <c r="P7" s="114"/>
      <c r="Q7" s="12">
        <v>10000</v>
      </c>
      <c r="R7" s="112"/>
      <c r="S7" s="113"/>
      <c r="T7" s="106"/>
      <c r="U7" s="7"/>
      <c r="V7" s="7"/>
      <c r="W7" s="7"/>
      <c r="X7" s="7"/>
      <c r="Y7" s="7"/>
      <c r="Z7" s="7"/>
      <c r="AA7" s="7"/>
      <c r="AB7" s="7"/>
      <c r="AC7" s="7"/>
      <c r="AD7" s="7"/>
    </row>
    <row x14ac:dyDescent="0.25" r="8" customHeight="1" ht="18">
      <c r="A8" s="116">
        <v>6</v>
      </c>
      <c r="B8" s="117" t="s">
        <v>261</v>
      </c>
      <c r="C8" s="118"/>
      <c r="D8" s="233"/>
      <c r="E8" s="234"/>
      <c r="F8" s="233"/>
      <c r="G8" s="235"/>
      <c r="H8" s="235"/>
      <c r="I8" s="235"/>
      <c r="J8" s="235"/>
      <c r="K8" s="233"/>
      <c r="L8" s="235"/>
      <c r="M8" s="235"/>
      <c r="N8" s="235"/>
      <c r="O8" s="236"/>
      <c r="P8" s="237"/>
      <c r="Q8" s="121"/>
      <c r="R8" s="112"/>
      <c r="S8" s="113"/>
      <c r="T8" s="106"/>
      <c r="U8" s="7"/>
      <c r="V8" s="7"/>
      <c r="W8" s="7"/>
      <c r="X8" s="7"/>
      <c r="Y8" s="7"/>
      <c r="Z8" s="7"/>
      <c r="AA8" s="7"/>
      <c r="AB8" s="7"/>
      <c r="AC8" s="7"/>
      <c r="AD8" s="7"/>
    </row>
    <row x14ac:dyDescent="0.25" r="9" customHeight="1" ht="18">
      <c r="A9" s="122">
        <v>7</v>
      </c>
      <c r="B9" s="123" t="s">
        <v>94</v>
      </c>
      <c r="C9" s="124"/>
      <c r="D9" s="238"/>
      <c r="E9" s="239"/>
      <c r="F9" s="238"/>
      <c r="G9" s="240"/>
      <c r="H9" s="240"/>
      <c r="I9" s="240"/>
      <c r="J9" s="240"/>
      <c r="K9" s="238"/>
      <c r="L9" s="240"/>
      <c r="M9" s="240"/>
      <c r="N9" s="240"/>
      <c r="O9" s="241"/>
      <c r="P9" s="242"/>
      <c r="Q9" s="126"/>
      <c r="R9" s="127"/>
      <c r="S9" s="126"/>
      <c r="T9" s="106"/>
      <c r="U9" s="7"/>
      <c r="V9" s="7"/>
      <c r="W9" s="7"/>
      <c r="X9" s="7"/>
      <c r="Y9" s="7"/>
      <c r="Z9" s="7"/>
      <c r="AA9" s="7"/>
      <c r="AB9" s="7"/>
      <c r="AC9" s="7"/>
      <c r="AD9" s="7"/>
    </row>
    <row x14ac:dyDescent="0.25" r="10" customHeight="1" ht="18">
      <c r="A10" s="122">
        <v>8</v>
      </c>
      <c r="B10" s="123" t="s">
        <v>95</v>
      </c>
      <c r="C10" s="243"/>
      <c r="D10" s="244"/>
      <c r="E10" s="245"/>
      <c r="F10" s="244"/>
      <c r="G10" s="246"/>
      <c r="H10" s="246"/>
      <c r="I10" s="246"/>
      <c r="J10" s="246"/>
      <c r="K10" s="244"/>
      <c r="L10" s="246"/>
      <c r="M10" s="246"/>
      <c r="N10" s="246"/>
      <c r="O10" s="241"/>
      <c r="P10" s="242"/>
      <c r="Q10" s="126"/>
      <c r="R10" s="127"/>
      <c r="S10" s="126"/>
      <c r="T10" s="106"/>
      <c r="U10" s="7"/>
      <c r="V10" s="7"/>
      <c r="W10" s="7"/>
      <c r="X10" s="7"/>
      <c r="Y10" s="7"/>
      <c r="Z10" s="7"/>
      <c r="AA10" s="7"/>
      <c r="AB10" s="7"/>
      <c r="AC10" s="7"/>
      <c r="AD10" s="7"/>
    </row>
    <row x14ac:dyDescent="0.25" r="11" customHeight="1" ht="18">
      <c r="A11" s="101" t="s">
        <v>96</v>
      </c>
      <c r="B11" s="102">
        <v>5</v>
      </c>
      <c r="C11" s="103"/>
      <c r="D11" s="105"/>
      <c r="E11" s="227"/>
      <c r="F11" s="105"/>
      <c r="G11" s="104"/>
      <c r="H11" s="104"/>
      <c r="I11" s="104"/>
      <c r="J11" s="104"/>
      <c r="K11" s="105"/>
      <c r="L11" s="104"/>
      <c r="M11" s="104"/>
      <c r="N11" s="104"/>
      <c r="O11" s="104"/>
      <c r="P11" s="105"/>
      <c r="Q11" s="105"/>
      <c r="R11" s="104"/>
      <c r="S11" s="105"/>
      <c r="T11" s="130"/>
      <c r="U11" s="7"/>
      <c r="V11" s="7"/>
      <c r="W11" s="7"/>
      <c r="X11" s="7"/>
      <c r="Y11" s="7"/>
      <c r="Z11" s="7"/>
      <c r="AA11" s="7"/>
      <c r="AB11" s="7"/>
      <c r="AC11" s="7"/>
      <c r="AD11" s="7"/>
    </row>
    <row x14ac:dyDescent="0.25" r="12" customHeight="1" ht="18">
      <c r="A12" s="107">
        <v>9</v>
      </c>
      <c r="B12" s="108" t="s">
        <v>84</v>
      </c>
      <c r="C12" s="90" t="s">
        <v>97</v>
      </c>
      <c r="D12" s="90"/>
      <c r="E12" s="247"/>
      <c r="F12" s="90"/>
      <c r="G12" s="13"/>
      <c r="H12" s="13"/>
      <c r="I12" s="13"/>
      <c r="J12" s="13"/>
      <c r="K12" s="90"/>
      <c r="L12" s="13"/>
      <c r="M12" s="13"/>
      <c r="N12" s="13"/>
      <c r="O12" s="131"/>
      <c r="P12" s="12">
        <v>8500</v>
      </c>
      <c r="Q12" s="12">
        <v>8500</v>
      </c>
      <c r="R12" s="131"/>
      <c r="S12" s="132"/>
      <c r="T12" s="106"/>
      <c r="U12" s="7"/>
      <c r="V12" s="7"/>
      <c r="W12" s="7"/>
      <c r="X12" s="7"/>
      <c r="Y12" s="7"/>
      <c r="Z12" s="7"/>
      <c r="AA12" s="7"/>
      <c r="AB12" s="7"/>
      <c r="AC12" s="7"/>
      <c r="AD12" s="7"/>
    </row>
    <row x14ac:dyDescent="0.25" r="13" customHeight="1" ht="18">
      <c r="A13" s="107">
        <v>10</v>
      </c>
      <c r="B13" s="115" t="s">
        <v>85</v>
      </c>
      <c r="C13" s="90" t="s">
        <v>98</v>
      </c>
      <c r="D13" s="231"/>
      <c r="E13" s="232"/>
      <c r="F13" s="231"/>
      <c r="G13" s="193"/>
      <c r="H13" s="193"/>
      <c r="I13" s="193"/>
      <c r="J13" s="193"/>
      <c r="K13" s="231"/>
      <c r="L13" s="193"/>
      <c r="M13" s="193"/>
      <c r="N13" s="193"/>
      <c r="O13" s="112"/>
      <c r="P13" s="12">
        <v>8500</v>
      </c>
      <c r="Q13" s="12">
        <v>8500</v>
      </c>
      <c r="R13" s="112"/>
      <c r="S13" s="132"/>
      <c r="T13" s="106"/>
      <c r="U13" s="7"/>
      <c r="V13" s="7"/>
      <c r="W13" s="7"/>
      <c r="X13" s="7"/>
      <c r="Y13" s="7"/>
      <c r="Z13" s="7"/>
      <c r="AA13" s="7"/>
      <c r="AB13" s="7"/>
      <c r="AC13" s="7"/>
      <c r="AD13" s="7"/>
    </row>
    <row x14ac:dyDescent="0.25" r="14" customHeight="1" ht="18">
      <c r="A14" s="116">
        <v>11</v>
      </c>
      <c r="B14" s="133" t="s">
        <v>87</v>
      </c>
      <c r="C14" s="118"/>
      <c r="D14" s="248"/>
      <c r="E14" s="249"/>
      <c r="F14" s="248"/>
      <c r="G14" s="250"/>
      <c r="H14" s="250"/>
      <c r="I14" s="250"/>
      <c r="J14" s="250"/>
      <c r="K14" s="248"/>
      <c r="L14" s="250"/>
      <c r="M14" s="250"/>
      <c r="N14" s="250"/>
      <c r="O14" s="134"/>
      <c r="P14" s="121"/>
      <c r="Q14" s="121"/>
      <c r="R14" s="112"/>
      <c r="S14" s="132"/>
      <c r="T14" s="106"/>
      <c r="U14" s="7"/>
      <c r="V14" s="7"/>
      <c r="W14" s="7"/>
      <c r="X14" s="7"/>
      <c r="Y14" s="7"/>
      <c r="Z14" s="7"/>
      <c r="AA14" s="7"/>
      <c r="AB14" s="7"/>
      <c r="AC14" s="7"/>
      <c r="AD14" s="7"/>
    </row>
    <row x14ac:dyDescent="0.25" r="15" customHeight="1" ht="18">
      <c r="A15" s="107">
        <v>12</v>
      </c>
      <c r="B15" s="115" t="s">
        <v>89</v>
      </c>
      <c r="C15" s="90" t="s">
        <v>99</v>
      </c>
      <c r="D15" s="90"/>
      <c r="E15" s="247"/>
      <c r="F15" s="90"/>
      <c r="G15" s="13"/>
      <c r="H15" s="13"/>
      <c r="I15" s="13"/>
      <c r="J15" s="13"/>
      <c r="K15" s="90"/>
      <c r="L15" s="13"/>
      <c r="M15" s="13"/>
      <c r="N15" s="13"/>
      <c r="O15" s="131"/>
      <c r="P15" s="12">
        <v>8500</v>
      </c>
      <c r="Q15" s="12">
        <v>8500</v>
      </c>
      <c r="R15" s="131"/>
      <c r="S15" s="132"/>
      <c r="T15" s="106"/>
      <c r="U15" s="7"/>
      <c r="V15" s="7"/>
      <c r="W15" s="7"/>
      <c r="X15" s="7"/>
      <c r="Y15" s="7"/>
      <c r="Z15" s="7"/>
      <c r="AA15" s="7"/>
      <c r="AB15" s="7"/>
      <c r="AC15" s="7"/>
      <c r="AD15" s="7"/>
    </row>
    <row x14ac:dyDescent="0.25" r="16" customHeight="1" ht="18">
      <c r="A16" s="107">
        <v>13</v>
      </c>
      <c r="B16" s="115" t="s">
        <v>91</v>
      </c>
      <c r="C16" s="90" t="s">
        <v>100</v>
      </c>
      <c r="D16" s="231"/>
      <c r="E16" s="232"/>
      <c r="F16" s="231"/>
      <c r="G16" s="193"/>
      <c r="H16" s="193"/>
      <c r="I16" s="193"/>
      <c r="J16" s="193"/>
      <c r="K16" s="231"/>
      <c r="L16" s="193"/>
      <c r="M16" s="193"/>
      <c r="N16" s="193"/>
      <c r="O16" s="136"/>
      <c r="P16" s="12">
        <v>8500</v>
      </c>
      <c r="Q16" s="12">
        <v>8500</v>
      </c>
      <c r="R16" s="127"/>
      <c r="S16" s="137"/>
      <c r="T16" s="138"/>
      <c r="U16" s="7"/>
      <c r="V16" s="7"/>
      <c r="W16" s="7"/>
      <c r="X16" s="7"/>
      <c r="Y16" s="7"/>
      <c r="Z16" s="7"/>
      <c r="AA16" s="7"/>
      <c r="AB16" s="7"/>
      <c r="AC16" s="7"/>
      <c r="AD16" s="7"/>
    </row>
    <row x14ac:dyDescent="0.25" r="17" customHeight="1" ht="18">
      <c r="A17" s="107">
        <v>14</v>
      </c>
      <c r="B17" s="139" t="s">
        <v>93</v>
      </c>
      <c r="C17" s="90" t="s">
        <v>101</v>
      </c>
      <c r="D17" s="231"/>
      <c r="E17" s="232"/>
      <c r="F17" s="231"/>
      <c r="G17" s="193"/>
      <c r="H17" s="193"/>
      <c r="I17" s="193"/>
      <c r="J17" s="193"/>
      <c r="K17" s="231"/>
      <c r="L17" s="193"/>
      <c r="M17" s="193"/>
      <c r="N17" s="193"/>
      <c r="O17" s="140"/>
      <c r="P17" s="12">
        <v>8500</v>
      </c>
      <c r="Q17" s="12">
        <v>8500</v>
      </c>
      <c r="R17" s="112"/>
      <c r="S17" s="132"/>
      <c r="T17" s="106"/>
      <c r="U17" s="7"/>
      <c r="V17" s="7"/>
      <c r="W17" s="7"/>
      <c r="X17" s="7"/>
      <c r="Y17" s="7"/>
      <c r="Z17" s="7"/>
      <c r="AA17" s="7"/>
      <c r="AB17" s="7"/>
      <c r="AC17" s="7"/>
      <c r="AD17" s="7"/>
    </row>
    <row x14ac:dyDescent="0.25" r="18" customHeight="1" ht="18">
      <c r="A18" s="122">
        <v>15</v>
      </c>
      <c r="B18" s="123" t="s">
        <v>94</v>
      </c>
      <c r="C18" s="141"/>
      <c r="D18" s="219"/>
      <c r="E18" s="251"/>
      <c r="F18" s="219"/>
      <c r="G18" s="252"/>
      <c r="H18" s="252"/>
      <c r="I18" s="252"/>
      <c r="J18" s="252"/>
      <c r="K18" s="219"/>
      <c r="L18" s="252"/>
      <c r="M18" s="252"/>
      <c r="N18" s="252"/>
      <c r="O18" s="127"/>
      <c r="P18" s="111"/>
      <c r="Q18" s="111"/>
      <c r="R18" s="127"/>
      <c r="S18" s="137"/>
      <c r="T18" s="106"/>
      <c r="U18" s="7"/>
      <c r="V18" s="7"/>
      <c r="W18" s="7"/>
      <c r="X18" s="7"/>
      <c r="Y18" s="7"/>
      <c r="Z18" s="7"/>
      <c r="AA18" s="7"/>
      <c r="AB18" s="7"/>
      <c r="AC18" s="7"/>
      <c r="AD18" s="7"/>
    </row>
    <row x14ac:dyDescent="0.25" r="19" customHeight="1" ht="18">
      <c r="A19" s="122">
        <v>16</v>
      </c>
      <c r="B19" s="123" t="s">
        <v>95</v>
      </c>
      <c r="C19" s="142"/>
      <c r="D19" s="126"/>
      <c r="E19" s="253"/>
      <c r="F19" s="126"/>
      <c r="G19" s="127"/>
      <c r="H19" s="127"/>
      <c r="I19" s="127"/>
      <c r="J19" s="127"/>
      <c r="K19" s="126"/>
      <c r="L19" s="127"/>
      <c r="M19" s="127"/>
      <c r="N19" s="127"/>
      <c r="O19" s="127"/>
      <c r="P19" s="126"/>
      <c r="Q19" s="126"/>
      <c r="R19" s="127"/>
      <c r="S19" s="137"/>
      <c r="T19" s="106"/>
      <c r="U19" s="7"/>
      <c r="V19" s="7"/>
      <c r="W19" s="7"/>
      <c r="X19" s="7"/>
      <c r="Y19" s="7"/>
      <c r="Z19" s="7"/>
      <c r="AA19" s="7"/>
      <c r="AB19" s="7"/>
      <c r="AC19" s="7"/>
      <c r="AD19" s="7"/>
    </row>
    <row x14ac:dyDescent="0.25" r="20" customHeight="1" ht="18">
      <c r="A20" s="101" t="s">
        <v>102</v>
      </c>
      <c r="B20" s="102">
        <v>7</v>
      </c>
      <c r="C20" s="103"/>
      <c r="D20" s="105"/>
      <c r="E20" s="227"/>
      <c r="F20" s="105"/>
      <c r="G20" s="104"/>
      <c r="H20" s="104"/>
      <c r="I20" s="104"/>
      <c r="J20" s="104"/>
      <c r="K20" s="105"/>
      <c r="L20" s="104"/>
      <c r="M20" s="104"/>
      <c r="N20" s="104"/>
      <c r="O20" s="104"/>
      <c r="P20" s="105"/>
      <c r="Q20" s="105"/>
      <c r="R20" s="104"/>
      <c r="S20" s="143"/>
      <c r="T20" s="106"/>
      <c r="U20" s="7"/>
      <c r="V20" s="7"/>
      <c r="W20" s="7"/>
      <c r="X20" s="7"/>
      <c r="Y20" s="7"/>
      <c r="Z20" s="7"/>
      <c r="AA20" s="7"/>
      <c r="AB20" s="7"/>
      <c r="AC20" s="7"/>
      <c r="AD20" s="7"/>
    </row>
    <row x14ac:dyDescent="0.25" r="21" customHeight="1" ht="18">
      <c r="A21" s="144">
        <v>17</v>
      </c>
      <c r="B21" s="108" t="s">
        <v>84</v>
      </c>
      <c r="C21" s="90" t="s">
        <v>103</v>
      </c>
      <c r="D21" s="231"/>
      <c r="E21" s="232"/>
      <c r="F21" s="231"/>
      <c r="G21" s="193"/>
      <c r="H21" s="193"/>
      <c r="I21" s="193"/>
      <c r="J21" s="193"/>
      <c r="K21" s="231"/>
      <c r="L21" s="193"/>
      <c r="M21" s="193"/>
      <c r="N21" s="193"/>
      <c r="O21" s="110"/>
      <c r="P21" s="111"/>
      <c r="Q21" s="145"/>
      <c r="R21" s="146"/>
      <c r="S21" s="148"/>
      <c r="T21" s="149" t="s">
        <v>104</v>
      </c>
      <c r="U21" s="7"/>
      <c r="V21" s="7"/>
      <c r="W21" s="7"/>
      <c r="X21" s="7"/>
      <c r="Y21" s="7"/>
      <c r="Z21" s="7"/>
      <c r="AA21" s="7"/>
      <c r="AB21" s="7"/>
      <c r="AC21" s="7"/>
      <c r="AD21" s="7"/>
    </row>
    <row x14ac:dyDescent="0.25" r="22" customHeight="1" ht="18">
      <c r="A22" s="107">
        <v>18</v>
      </c>
      <c r="B22" s="108" t="s">
        <v>85</v>
      </c>
      <c r="C22" s="90" t="s">
        <v>105</v>
      </c>
      <c r="D22" s="231"/>
      <c r="E22" s="232"/>
      <c r="F22" s="231"/>
      <c r="G22" s="193"/>
      <c r="H22" s="193"/>
      <c r="I22" s="193"/>
      <c r="J22" s="193"/>
      <c r="K22" s="231"/>
      <c r="L22" s="193"/>
      <c r="M22" s="193"/>
      <c r="N22" s="193"/>
      <c r="O22" s="110"/>
      <c r="P22" s="111"/>
      <c r="Q22" s="12">
        <v>8000</v>
      </c>
      <c r="R22" s="112"/>
      <c r="S22" s="132"/>
      <c r="T22" s="106"/>
      <c r="U22" s="7"/>
      <c r="V22" s="7"/>
      <c r="W22" s="7"/>
      <c r="X22" s="7"/>
      <c r="Y22" s="7"/>
      <c r="Z22" s="7"/>
      <c r="AA22" s="7"/>
      <c r="AB22" s="7"/>
      <c r="AC22" s="7"/>
      <c r="AD22" s="7"/>
    </row>
    <row x14ac:dyDescent="0.25" r="23" customHeight="1" ht="18">
      <c r="A23" s="122">
        <v>19</v>
      </c>
      <c r="B23" s="115" t="s">
        <v>87</v>
      </c>
      <c r="C23" s="90" t="s">
        <v>106</v>
      </c>
      <c r="D23" s="231"/>
      <c r="E23" s="232"/>
      <c r="F23" s="231"/>
      <c r="G23" s="193"/>
      <c r="H23" s="193"/>
      <c r="I23" s="193"/>
      <c r="J23" s="193"/>
      <c r="K23" s="231"/>
      <c r="L23" s="193"/>
      <c r="M23" s="193"/>
      <c r="N23" s="193"/>
      <c r="O23" s="136"/>
      <c r="P23" s="128"/>
      <c r="Q23" s="12">
        <v>5000</v>
      </c>
      <c r="R23" s="127"/>
      <c r="S23" s="137"/>
      <c r="T23" s="150"/>
      <c r="U23" s="7"/>
      <c r="V23" s="7"/>
      <c r="W23" s="7"/>
      <c r="X23" s="7"/>
      <c r="Y23" s="7"/>
      <c r="Z23" s="7"/>
      <c r="AA23" s="7"/>
      <c r="AB23" s="7"/>
      <c r="AC23" s="7"/>
      <c r="AD23" s="7"/>
    </row>
    <row x14ac:dyDescent="0.25" r="24" customHeight="1" ht="18">
      <c r="A24" s="122">
        <v>20</v>
      </c>
      <c r="B24" s="115" t="s">
        <v>89</v>
      </c>
      <c r="C24" s="90" t="s">
        <v>107</v>
      </c>
      <c r="D24" s="231"/>
      <c r="E24" s="232"/>
      <c r="F24" s="231"/>
      <c r="G24" s="193"/>
      <c r="H24" s="193"/>
      <c r="I24" s="193"/>
      <c r="J24" s="193"/>
      <c r="K24" s="231"/>
      <c r="L24" s="193"/>
      <c r="M24" s="193"/>
      <c r="N24" s="193"/>
      <c r="O24" s="110"/>
      <c r="P24" s="128"/>
      <c r="Q24" s="12">
        <v>7500</v>
      </c>
      <c r="R24" s="127"/>
      <c r="S24" s="126"/>
      <c r="T24" s="151"/>
      <c r="U24" s="7"/>
      <c r="V24" s="7"/>
      <c r="W24" s="7"/>
      <c r="X24" s="7"/>
      <c r="Y24" s="7"/>
      <c r="Z24" s="7"/>
      <c r="AA24" s="7"/>
      <c r="AB24" s="7"/>
      <c r="AC24" s="7"/>
      <c r="AD24" s="7"/>
    </row>
    <row x14ac:dyDescent="0.25" r="25" customHeight="1" ht="18">
      <c r="A25" s="107">
        <v>21</v>
      </c>
      <c r="B25" s="115" t="s">
        <v>91</v>
      </c>
      <c r="C25" s="90" t="s">
        <v>108</v>
      </c>
      <c r="D25" s="231"/>
      <c r="E25" s="232"/>
      <c r="F25" s="231"/>
      <c r="G25" s="193"/>
      <c r="H25" s="193"/>
      <c r="I25" s="193"/>
      <c r="J25" s="193"/>
      <c r="K25" s="231"/>
      <c r="L25" s="193"/>
      <c r="M25" s="193"/>
      <c r="N25" s="193"/>
      <c r="O25" s="110"/>
      <c r="P25" s="111"/>
      <c r="Q25" s="12"/>
      <c r="R25" s="112"/>
      <c r="S25" s="113"/>
      <c r="T25" s="106" t="s">
        <v>109</v>
      </c>
      <c r="U25" s="7"/>
      <c r="V25" s="7"/>
      <c r="W25" s="7"/>
      <c r="X25" s="7"/>
      <c r="Y25" s="7"/>
      <c r="Z25" s="7"/>
      <c r="AA25" s="7"/>
      <c r="AB25" s="7"/>
      <c r="AC25" s="7"/>
      <c r="AD25" s="7"/>
    </row>
    <row x14ac:dyDescent="0.25" r="26" customHeight="1" ht="18">
      <c r="A26" s="107">
        <v>22</v>
      </c>
      <c r="B26" s="115" t="s">
        <v>93</v>
      </c>
      <c r="C26" s="90" t="s">
        <v>110</v>
      </c>
      <c r="D26" s="231"/>
      <c r="E26" s="232"/>
      <c r="F26" s="231"/>
      <c r="G26" s="193"/>
      <c r="H26" s="193"/>
      <c r="I26" s="193"/>
      <c r="J26" s="193"/>
      <c r="K26" s="231"/>
      <c r="L26" s="193"/>
      <c r="M26" s="193"/>
      <c r="N26" s="193"/>
      <c r="O26" s="112"/>
      <c r="P26" s="113"/>
      <c r="Q26" s="12">
        <v>6000</v>
      </c>
      <c r="R26" s="112"/>
      <c r="S26" s="113"/>
      <c r="T26" s="106"/>
      <c r="U26" s="7"/>
      <c r="V26" s="7"/>
      <c r="W26" s="7"/>
      <c r="X26" s="7"/>
      <c r="Y26" s="7"/>
      <c r="Z26" s="7"/>
      <c r="AA26" s="7"/>
      <c r="AB26" s="7"/>
      <c r="AC26" s="7"/>
      <c r="AD26" s="7"/>
    </row>
    <row x14ac:dyDescent="0.25" r="27" customHeight="1" ht="18">
      <c r="A27" s="107">
        <v>23</v>
      </c>
      <c r="B27" s="123" t="s">
        <v>94</v>
      </c>
      <c r="C27" s="90" t="s">
        <v>111</v>
      </c>
      <c r="D27" s="231"/>
      <c r="E27" s="232"/>
      <c r="F27" s="231"/>
      <c r="G27" s="193"/>
      <c r="H27" s="193"/>
      <c r="I27" s="193"/>
      <c r="J27" s="193"/>
      <c r="K27" s="231"/>
      <c r="L27" s="193"/>
      <c r="M27" s="193"/>
      <c r="N27" s="193"/>
      <c r="O27" s="112"/>
      <c r="P27" s="113"/>
      <c r="Q27" s="12">
        <v>7500</v>
      </c>
      <c r="R27" s="112"/>
      <c r="S27" s="113"/>
      <c r="T27" s="106"/>
      <c r="U27" s="7"/>
      <c r="V27" s="7"/>
      <c r="W27" s="7"/>
      <c r="X27" s="7"/>
      <c r="Y27" s="7"/>
      <c r="Z27" s="7"/>
      <c r="AA27" s="7"/>
      <c r="AB27" s="7"/>
      <c r="AC27" s="7"/>
      <c r="AD27" s="7"/>
    </row>
    <row x14ac:dyDescent="0.25" r="28" customHeight="1" ht="18">
      <c r="A28" s="152">
        <v>24</v>
      </c>
      <c r="B28" s="123" t="s">
        <v>95</v>
      </c>
      <c r="C28" s="129"/>
      <c r="D28" s="113"/>
      <c r="E28" s="254"/>
      <c r="F28" s="113"/>
      <c r="G28" s="112"/>
      <c r="H28" s="112"/>
      <c r="I28" s="112"/>
      <c r="J28" s="112"/>
      <c r="K28" s="113"/>
      <c r="L28" s="112"/>
      <c r="M28" s="112"/>
      <c r="N28" s="112"/>
      <c r="O28" s="112"/>
      <c r="P28" s="113"/>
      <c r="Q28" s="113"/>
      <c r="R28" s="112"/>
      <c r="S28" s="113"/>
      <c r="T28" s="106"/>
      <c r="U28" s="7"/>
      <c r="V28" s="7"/>
      <c r="W28" s="7"/>
      <c r="X28" s="7"/>
      <c r="Y28" s="7"/>
      <c r="Z28" s="7"/>
      <c r="AA28" s="7"/>
      <c r="AB28" s="7"/>
      <c r="AC28" s="7"/>
      <c r="AD28" s="7"/>
    </row>
    <row x14ac:dyDescent="0.25" r="29" customHeight="1" ht="18">
      <c r="A29" s="101" t="s">
        <v>112</v>
      </c>
      <c r="B29" s="102">
        <v>6</v>
      </c>
      <c r="C29" s="103"/>
      <c r="D29" s="105"/>
      <c r="E29" s="227"/>
      <c r="F29" s="105"/>
      <c r="G29" s="104"/>
      <c r="H29" s="104"/>
      <c r="I29" s="104"/>
      <c r="J29" s="104"/>
      <c r="K29" s="105"/>
      <c r="L29" s="104"/>
      <c r="M29" s="104"/>
      <c r="N29" s="104"/>
      <c r="O29" s="104"/>
      <c r="P29" s="105"/>
      <c r="Q29" s="105"/>
      <c r="R29" s="104"/>
      <c r="S29" s="105"/>
      <c r="T29" s="106"/>
      <c r="U29" s="7"/>
      <c r="V29" s="7"/>
      <c r="W29" s="7"/>
      <c r="X29" s="7"/>
      <c r="Y29" s="7"/>
      <c r="Z29" s="7"/>
      <c r="AA29" s="7"/>
      <c r="AB29" s="7"/>
      <c r="AC29" s="7"/>
      <c r="AD29" s="7"/>
    </row>
    <row x14ac:dyDescent="0.25" r="30" customHeight="1" ht="18">
      <c r="A30" s="107">
        <v>25</v>
      </c>
      <c r="B30" s="108" t="s">
        <v>84</v>
      </c>
      <c r="C30" s="90" t="s">
        <v>113</v>
      </c>
      <c r="D30" s="231"/>
      <c r="E30" s="232"/>
      <c r="F30" s="231"/>
      <c r="G30" s="193"/>
      <c r="H30" s="193"/>
      <c r="I30" s="193"/>
      <c r="J30" s="193"/>
      <c r="K30" s="231"/>
      <c r="L30" s="193"/>
      <c r="M30" s="193"/>
      <c r="N30" s="193"/>
      <c r="O30" s="110"/>
      <c r="P30" s="111"/>
      <c r="Q30" s="12">
        <v>8800</v>
      </c>
      <c r="R30" s="140"/>
      <c r="S30" s="113"/>
      <c r="T30" s="106"/>
      <c r="U30" s="7"/>
      <c r="V30" s="7"/>
      <c r="W30" s="7"/>
      <c r="X30" s="7"/>
      <c r="Y30" s="7"/>
      <c r="Z30" s="7"/>
      <c r="AA30" s="7"/>
      <c r="AB30" s="7"/>
      <c r="AC30" s="7"/>
      <c r="AD30" s="7"/>
    </row>
    <row x14ac:dyDescent="0.25" r="31" customHeight="1" ht="18">
      <c r="A31" s="107">
        <v>26</v>
      </c>
      <c r="B31" s="108" t="s">
        <v>85</v>
      </c>
      <c r="C31" s="90" t="s">
        <v>114</v>
      </c>
      <c r="D31" s="231"/>
      <c r="E31" s="232"/>
      <c r="F31" s="231"/>
      <c r="G31" s="193"/>
      <c r="H31" s="193"/>
      <c r="I31" s="193"/>
      <c r="J31" s="193"/>
      <c r="K31" s="231"/>
      <c r="L31" s="193"/>
      <c r="M31" s="193"/>
      <c r="N31" s="193"/>
      <c r="O31" s="110"/>
      <c r="P31" s="111"/>
      <c r="Q31" s="12">
        <v>8800</v>
      </c>
      <c r="R31" s="112"/>
      <c r="S31" s="113"/>
      <c r="T31" s="106"/>
      <c r="U31" s="7"/>
      <c r="V31" s="7"/>
      <c r="W31" s="7"/>
      <c r="X31" s="7"/>
      <c r="Y31" s="7"/>
      <c r="Z31" s="7"/>
      <c r="AA31" s="7"/>
      <c r="AB31" s="7"/>
      <c r="AC31" s="7"/>
      <c r="AD31" s="7"/>
    </row>
    <row x14ac:dyDescent="0.25" r="32" customHeight="1" ht="18">
      <c r="A32" s="122">
        <v>27</v>
      </c>
      <c r="B32" s="115" t="s">
        <v>87</v>
      </c>
      <c r="C32" s="90" t="s">
        <v>115</v>
      </c>
      <c r="D32" s="231"/>
      <c r="E32" s="232"/>
      <c r="F32" s="231"/>
      <c r="G32" s="193"/>
      <c r="H32" s="193"/>
      <c r="I32" s="193"/>
      <c r="J32" s="193"/>
      <c r="K32" s="231"/>
      <c r="L32" s="193"/>
      <c r="M32" s="193"/>
      <c r="N32" s="193"/>
      <c r="O32" s="110"/>
      <c r="P32" s="111"/>
      <c r="Q32" s="12">
        <v>8800</v>
      </c>
      <c r="R32" s="127"/>
      <c r="S32" s="126"/>
      <c r="T32" s="106"/>
      <c r="U32" s="7"/>
      <c r="V32" s="7"/>
      <c r="W32" s="7"/>
      <c r="X32" s="7"/>
      <c r="Y32" s="7"/>
      <c r="Z32" s="7"/>
      <c r="AA32" s="7"/>
      <c r="AB32" s="7"/>
      <c r="AC32" s="7"/>
      <c r="AD32" s="7"/>
    </row>
    <row x14ac:dyDescent="0.25" r="33" customHeight="1" ht="18">
      <c r="A33" s="122">
        <v>28</v>
      </c>
      <c r="B33" s="115" t="s">
        <v>89</v>
      </c>
      <c r="C33" s="90" t="s">
        <v>116</v>
      </c>
      <c r="D33" s="231"/>
      <c r="E33" s="232"/>
      <c r="F33" s="231"/>
      <c r="G33" s="193"/>
      <c r="H33" s="193"/>
      <c r="I33" s="193"/>
      <c r="J33" s="193"/>
      <c r="K33" s="231"/>
      <c r="L33" s="193"/>
      <c r="M33" s="193"/>
      <c r="N33" s="193"/>
      <c r="O33" s="136"/>
      <c r="P33" s="12">
        <v>8800</v>
      </c>
      <c r="Q33" s="12">
        <v>8800</v>
      </c>
      <c r="R33" s="112"/>
      <c r="S33" s="113"/>
      <c r="T33" s="106"/>
      <c r="U33" s="7"/>
      <c r="V33" s="7"/>
      <c r="W33" s="7"/>
      <c r="X33" s="7"/>
      <c r="Y33" s="7"/>
      <c r="Z33" s="7"/>
      <c r="AA33" s="7"/>
      <c r="AB33" s="7"/>
      <c r="AC33" s="7"/>
      <c r="AD33" s="7"/>
    </row>
    <row x14ac:dyDescent="0.25" r="34" customHeight="1" ht="18">
      <c r="A34" s="107">
        <v>29</v>
      </c>
      <c r="B34" s="115" t="s">
        <v>91</v>
      </c>
      <c r="C34" s="90" t="s">
        <v>117</v>
      </c>
      <c r="D34" s="231"/>
      <c r="E34" s="232"/>
      <c r="F34" s="231"/>
      <c r="G34" s="193"/>
      <c r="H34" s="193"/>
      <c r="I34" s="193"/>
      <c r="J34" s="193"/>
      <c r="K34" s="231"/>
      <c r="L34" s="193"/>
      <c r="M34" s="193"/>
      <c r="N34" s="193"/>
      <c r="O34" s="153"/>
      <c r="P34" s="12">
        <v>8800</v>
      </c>
      <c r="Q34" s="12">
        <v>8800</v>
      </c>
      <c r="R34" s="154"/>
      <c r="S34" s="155"/>
      <c r="T34" s="106"/>
      <c r="U34" s="7"/>
      <c r="V34" s="7"/>
      <c r="W34" s="7"/>
      <c r="X34" s="7"/>
      <c r="Y34" s="7"/>
      <c r="Z34" s="7"/>
      <c r="AA34" s="7"/>
      <c r="AB34" s="7"/>
      <c r="AC34" s="7"/>
      <c r="AD34" s="7"/>
    </row>
    <row x14ac:dyDescent="0.25" r="35" customHeight="1" ht="18">
      <c r="A35" s="107">
        <v>30</v>
      </c>
      <c r="B35" s="139" t="s">
        <v>93</v>
      </c>
      <c r="C35" s="90" t="s">
        <v>118</v>
      </c>
      <c r="D35" s="231"/>
      <c r="E35" s="232"/>
      <c r="F35" s="231"/>
      <c r="G35" s="193"/>
      <c r="H35" s="193"/>
      <c r="I35" s="193"/>
      <c r="J35" s="193"/>
      <c r="K35" s="231"/>
      <c r="L35" s="193"/>
      <c r="M35" s="193"/>
      <c r="N35" s="193"/>
      <c r="O35" s="154"/>
      <c r="P35" s="12">
        <v>8800</v>
      </c>
      <c r="Q35" s="12">
        <v>8800</v>
      </c>
      <c r="R35" s="154"/>
      <c r="S35" s="155"/>
      <c r="T35" s="106"/>
      <c r="U35" s="7"/>
      <c r="V35" s="7"/>
      <c r="W35" s="7"/>
      <c r="X35" s="7"/>
      <c r="Y35" s="7"/>
      <c r="Z35" s="7"/>
      <c r="AA35" s="7"/>
      <c r="AB35" s="7"/>
      <c r="AC35" s="7"/>
      <c r="AD35" s="7"/>
    </row>
    <row x14ac:dyDescent="0.25" r="36" customHeight="1" ht="18">
      <c r="A36" s="122">
        <v>31</v>
      </c>
      <c r="B36" s="123" t="s">
        <v>94</v>
      </c>
      <c r="C36" s="142"/>
      <c r="D36" s="126"/>
      <c r="E36" s="253"/>
      <c r="F36" s="126"/>
      <c r="G36" s="127"/>
      <c r="H36" s="127"/>
      <c r="I36" s="127"/>
      <c r="J36" s="127"/>
      <c r="K36" s="126"/>
      <c r="L36" s="127"/>
      <c r="M36" s="127"/>
      <c r="N36" s="127"/>
      <c r="O36" s="127"/>
      <c r="P36" s="126"/>
      <c r="Q36" s="126"/>
      <c r="R36" s="127"/>
      <c r="S36" s="126"/>
      <c r="T36" s="106"/>
      <c r="U36" s="7"/>
      <c r="V36" s="7"/>
      <c r="W36" s="7"/>
      <c r="X36" s="7"/>
      <c r="Y36" s="7"/>
      <c r="Z36" s="7"/>
      <c r="AA36" s="7"/>
      <c r="AB36" s="7"/>
      <c r="AC36" s="7"/>
      <c r="AD36" s="7"/>
    </row>
    <row x14ac:dyDescent="0.25" r="37" customHeight="1" ht="18">
      <c r="A37" s="122">
        <v>32</v>
      </c>
      <c r="B37" s="123" t="s">
        <v>95</v>
      </c>
      <c r="C37" s="142"/>
      <c r="D37" s="126"/>
      <c r="E37" s="253"/>
      <c r="F37" s="126"/>
      <c r="G37" s="127"/>
      <c r="H37" s="127"/>
      <c r="I37" s="127"/>
      <c r="J37" s="127"/>
      <c r="K37" s="126"/>
      <c r="L37" s="127"/>
      <c r="M37" s="127"/>
      <c r="N37" s="127"/>
      <c r="O37" s="127"/>
      <c r="P37" s="126"/>
      <c r="Q37" s="126"/>
      <c r="R37" s="127"/>
      <c r="S37" s="126"/>
      <c r="T37" s="106"/>
      <c r="U37" s="7"/>
      <c r="V37" s="7"/>
      <c r="W37" s="7"/>
      <c r="X37" s="7"/>
      <c r="Y37" s="7"/>
      <c r="Z37" s="7"/>
      <c r="AA37" s="7"/>
      <c r="AB37" s="7"/>
      <c r="AC37" s="7"/>
      <c r="AD37" s="7"/>
    </row>
    <row x14ac:dyDescent="0.25" r="38" customHeight="1" ht="18">
      <c r="A38" s="101" t="s">
        <v>119</v>
      </c>
      <c r="B38" s="102">
        <v>0</v>
      </c>
      <c r="C38" s="103"/>
      <c r="D38" s="105"/>
      <c r="E38" s="227"/>
      <c r="F38" s="105"/>
      <c r="G38" s="104"/>
      <c r="H38" s="104"/>
      <c r="I38" s="104"/>
      <c r="J38" s="104"/>
      <c r="K38" s="105"/>
      <c r="L38" s="104"/>
      <c r="M38" s="104"/>
      <c r="N38" s="104"/>
      <c r="O38" s="104"/>
      <c r="P38" s="105"/>
      <c r="Q38" s="105"/>
      <c r="R38" s="104"/>
      <c r="S38" s="105"/>
      <c r="T38" s="106"/>
      <c r="U38" s="7"/>
      <c r="V38" s="7"/>
      <c r="W38" s="7"/>
      <c r="X38" s="7"/>
      <c r="Y38" s="7"/>
      <c r="Z38" s="7"/>
      <c r="AA38" s="7"/>
      <c r="AB38" s="7"/>
      <c r="AC38" s="7"/>
      <c r="AD38" s="7"/>
    </row>
    <row x14ac:dyDescent="0.25" r="39" customHeight="1" ht="18">
      <c r="A39" s="122">
        <v>33</v>
      </c>
      <c r="B39" s="156" t="s">
        <v>84</v>
      </c>
      <c r="C39" s="90" t="s">
        <v>120</v>
      </c>
      <c r="D39" s="231"/>
      <c r="E39" s="232"/>
      <c r="F39" s="231"/>
      <c r="G39" s="193"/>
      <c r="H39" s="193"/>
      <c r="I39" s="193"/>
      <c r="J39" s="193"/>
      <c r="K39" s="231"/>
      <c r="L39" s="193"/>
      <c r="M39" s="193"/>
      <c r="N39" s="193"/>
      <c r="O39" s="154"/>
      <c r="P39" s="155"/>
      <c r="Q39" s="12">
        <v>9000</v>
      </c>
      <c r="R39" s="154"/>
      <c r="S39" s="113"/>
      <c r="T39" s="106"/>
      <c r="U39" s="7"/>
      <c r="V39" s="7"/>
      <c r="W39" s="7"/>
      <c r="X39" s="7"/>
      <c r="Y39" s="7"/>
      <c r="Z39" s="7"/>
      <c r="AA39" s="7"/>
      <c r="AB39" s="7"/>
      <c r="AC39" s="7"/>
      <c r="AD39" s="7"/>
    </row>
    <row x14ac:dyDescent="0.25" r="40" customHeight="1" ht="18">
      <c r="A40" s="122">
        <v>34</v>
      </c>
      <c r="B40" s="156" t="s">
        <v>85</v>
      </c>
      <c r="C40" s="90" t="s">
        <v>121</v>
      </c>
      <c r="D40" s="231"/>
      <c r="E40" s="232"/>
      <c r="F40" s="231"/>
      <c r="G40" s="193"/>
      <c r="H40" s="193"/>
      <c r="I40" s="193"/>
      <c r="J40" s="193"/>
      <c r="K40" s="231"/>
      <c r="L40" s="193"/>
      <c r="M40" s="193"/>
      <c r="N40" s="193"/>
      <c r="O40" s="110"/>
      <c r="P40" s="12">
        <v>8600</v>
      </c>
      <c r="Q40" s="12">
        <v>8600</v>
      </c>
      <c r="R40" s="112"/>
      <c r="S40" s="113"/>
      <c r="T40" s="106"/>
      <c r="U40" s="7"/>
      <c r="V40" s="7"/>
      <c r="W40" s="7"/>
      <c r="X40" s="7"/>
      <c r="Y40" s="7"/>
      <c r="Z40" s="7"/>
      <c r="AA40" s="7"/>
      <c r="AB40" s="7"/>
      <c r="AC40" s="7"/>
      <c r="AD40" s="7"/>
    </row>
    <row x14ac:dyDescent="0.25" r="41" customHeight="1" ht="18">
      <c r="A41" s="122">
        <v>35</v>
      </c>
      <c r="B41" s="115" t="s">
        <v>87</v>
      </c>
      <c r="C41" s="90" t="s">
        <v>122</v>
      </c>
      <c r="D41" s="231"/>
      <c r="E41" s="232"/>
      <c r="F41" s="231"/>
      <c r="G41" s="193"/>
      <c r="H41" s="193"/>
      <c r="I41" s="193"/>
      <c r="J41" s="193"/>
      <c r="K41" s="231"/>
      <c r="L41" s="193"/>
      <c r="M41" s="193"/>
      <c r="N41" s="193"/>
      <c r="O41" s="136"/>
      <c r="P41" s="12">
        <v>8600</v>
      </c>
      <c r="Q41" s="12">
        <v>8600</v>
      </c>
      <c r="R41" s="112"/>
      <c r="S41" s="113"/>
      <c r="T41" s="106"/>
      <c r="U41" s="7"/>
      <c r="V41" s="7"/>
      <c r="W41" s="7"/>
      <c r="X41" s="7"/>
      <c r="Y41" s="7"/>
      <c r="Z41" s="7"/>
      <c r="AA41" s="7"/>
      <c r="AB41" s="7"/>
      <c r="AC41" s="7"/>
      <c r="AD41" s="7"/>
    </row>
    <row x14ac:dyDescent="0.25" r="42" customHeight="1" ht="18">
      <c r="A42" s="107">
        <v>36</v>
      </c>
      <c r="B42" s="115" t="s">
        <v>89</v>
      </c>
      <c r="C42" s="90" t="s">
        <v>123</v>
      </c>
      <c r="D42" s="231"/>
      <c r="E42" s="232"/>
      <c r="F42" s="231"/>
      <c r="G42" s="193"/>
      <c r="H42" s="193"/>
      <c r="I42" s="193"/>
      <c r="J42" s="193"/>
      <c r="K42" s="231"/>
      <c r="L42" s="193"/>
      <c r="M42" s="193"/>
      <c r="N42" s="193"/>
      <c r="O42" s="154"/>
      <c r="P42" s="12"/>
      <c r="Q42" s="12">
        <v>8300</v>
      </c>
      <c r="R42" s="154"/>
      <c r="S42" s="113"/>
      <c r="T42" s="106"/>
      <c r="U42" s="7"/>
      <c r="V42" s="7"/>
      <c r="W42" s="7"/>
      <c r="X42" s="7"/>
      <c r="Y42" s="7"/>
      <c r="Z42" s="7"/>
      <c r="AA42" s="7"/>
      <c r="AB42" s="7"/>
      <c r="AC42" s="7"/>
      <c r="AD42" s="7"/>
    </row>
    <row x14ac:dyDescent="0.25" r="43" customHeight="1" ht="18">
      <c r="A43" s="157">
        <v>37</v>
      </c>
      <c r="B43" s="115" t="s">
        <v>91</v>
      </c>
      <c r="C43" s="90" t="s">
        <v>124</v>
      </c>
      <c r="D43" s="231"/>
      <c r="E43" s="232"/>
      <c r="F43" s="231"/>
      <c r="G43" s="193"/>
      <c r="H43" s="193"/>
      <c r="I43" s="193"/>
      <c r="J43" s="193"/>
      <c r="K43" s="231"/>
      <c r="L43" s="193"/>
      <c r="M43" s="193"/>
      <c r="N43" s="193"/>
      <c r="O43" s="153"/>
      <c r="P43" s="128"/>
      <c r="Q43" s="12">
        <v>8300</v>
      </c>
      <c r="R43" s="154"/>
      <c r="S43" s="155"/>
      <c r="T43" s="106"/>
      <c r="U43" s="7"/>
      <c r="V43" s="7"/>
      <c r="W43" s="7"/>
      <c r="X43" s="7"/>
      <c r="Y43" s="7"/>
      <c r="Z43" s="7"/>
      <c r="AA43" s="7"/>
      <c r="AB43" s="7"/>
      <c r="AC43" s="7"/>
      <c r="AD43" s="7"/>
    </row>
    <row x14ac:dyDescent="0.25" r="44" customHeight="1" ht="18">
      <c r="A44" s="158">
        <v>38</v>
      </c>
      <c r="B44" s="117" t="s">
        <v>93</v>
      </c>
      <c r="C44" s="159"/>
      <c r="D44" s="161"/>
      <c r="E44" s="255"/>
      <c r="F44" s="161"/>
      <c r="G44" s="160"/>
      <c r="H44" s="160"/>
      <c r="I44" s="160"/>
      <c r="J44" s="160"/>
      <c r="K44" s="161"/>
      <c r="L44" s="160"/>
      <c r="M44" s="160"/>
      <c r="N44" s="160"/>
      <c r="O44" s="160"/>
      <c r="P44" s="161"/>
      <c r="Q44" s="161"/>
      <c r="R44" s="154"/>
      <c r="S44" s="155"/>
      <c r="T44" s="106"/>
      <c r="U44" s="7"/>
      <c r="V44" s="7"/>
      <c r="W44" s="7"/>
      <c r="X44" s="7"/>
      <c r="Y44" s="7"/>
      <c r="Z44" s="7"/>
      <c r="AA44" s="7"/>
      <c r="AB44" s="7"/>
      <c r="AC44" s="7"/>
      <c r="AD44" s="7"/>
    </row>
    <row x14ac:dyDescent="0.25" r="45" customHeight="1" ht="18">
      <c r="A45" s="157">
        <v>39</v>
      </c>
      <c r="B45" s="123" t="s">
        <v>94</v>
      </c>
      <c r="C45" s="162"/>
      <c r="D45" s="155"/>
      <c r="E45" s="256"/>
      <c r="F45" s="155"/>
      <c r="G45" s="154"/>
      <c r="H45" s="154"/>
      <c r="I45" s="154"/>
      <c r="J45" s="154"/>
      <c r="K45" s="155"/>
      <c r="L45" s="154"/>
      <c r="M45" s="154"/>
      <c r="N45" s="154"/>
      <c r="O45" s="154"/>
      <c r="P45" s="155"/>
      <c r="Q45" s="155"/>
      <c r="R45" s="154"/>
      <c r="S45" s="155"/>
      <c r="T45" s="106"/>
      <c r="U45" s="7"/>
      <c r="V45" s="7"/>
      <c r="W45" s="7"/>
      <c r="X45" s="7"/>
      <c r="Y45" s="7"/>
      <c r="Z45" s="7"/>
      <c r="AA45" s="7"/>
      <c r="AB45" s="7"/>
      <c r="AC45" s="7"/>
      <c r="AD45" s="7"/>
    </row>
    <row x14ac:dyDescent="0.25" r="46" customHeight="1" ht="18">
      <c r="A46" s="157">
        <v>40</v>
      </c>
      <c r="B46" s="123" t="s">
        <v>95</v>
      </c>
      <c r="C46" s="162"/>
      <c r="D46" s="155"/>
      <c r="E46" s="256"/>
      <c r="F46" s="155"/>
      <c r="G46" s="154"/>
      <c r="H46" s="154"/>
      <c r="I46" s="154"/>
      <c r="J46" s="154"/>
      <c r="K46" s="155"/>
      <c r="L46" s="154"/>
      <c r="M46" s="154"/>
      <c r="N46" s="154"/>
      <c r="O46" s="154"/>
      <c r="P46" s="155"/>
      <c r="Q46" s="155"/>
      <c r="R46" s="154"/>
      <c r="S46" s="155"/>
      <c r="T46" s="106"/>
      <c r="U46" s="7"/>
      <c r="V46" s="7"/>
      <c r="W46" s="7"/>
      <c r="X46" s="7"/>
      <c r="Y46" s="7"/>
      <c r="Z46" s="7"/>
      <c r="AA46" s="7"/>
      <c r="AB46" s="7"/>
      <c r="AC46" s="7"/>
      <c r="AD46" s="7"/>
    </row>
    <row x14ac:dyDescent="0.25" r="47" customHeight="1" ht="18">
      <c r="A47" s="163" t="s">
        <v>125</v>
      </c>
      <c r="B47" s="102">
        <v>6</v>
      </c>
      <c r="C47" s="103"/>
      <c r="D47" s="105"/>
      <c r="E47" s="227"/>
      <c r="F47" s="105"/>
      <c r="G47" s="104"/>
      <c r="H47" s="104"/>
      <c r="I47" s="104"/>
      <c r="J47" s="104"/>
      <c r="K47" s="105"/>
      <c r="L47" s="104"/>
      <c r="M47" s="104"/>
      <c r="N47" s="104"/>
      <c r="O47" s="104"/>
      <c r="P47" s="105"/>
      <c r="Q47" s="105"/>
      <c r="R47" s="104"/>
      <c r="S47" s="105"/>
      <c r="T47" s="106"/>
      <c r="U47" s="7"/>
      <c r="V47" s="7"/>
      <c r="W47" s="7"/>
      <c r="X47" s="7"/>
      <c r="Y47" s="7"/>
      <c r="Z47" s="7"/>
      <c r="AA47" s="7"/>
      <c r="AB47" s="7"/>
      <c r="AC47" s="7"/>
      <c r="AD47" s="7"/>
    </row>
    <row x14ac:dyDescent="0.25" r="48" customHeight="1" ht="18">
      <c r="A48" s="164">
        <v>41</v>
      </c>
      <c r="B48" s="115" t="s">
        <v>84</v>
      </c>
      <c r="C48" s="165" t="s">
        <v>126</v>
      </c>
      <c r="D48" s="257"/>
      <c r="E48" s="258"/>
      <c r="F48" s="257"/>
      <c r="G48" s="259"/>
      <c r="H48" s="259"/>
      <c r="I48" s="259"/>
      <c r="J48" s="259"/>
      <c r="K48" s="257"/>
      <c r="L48" s="259"/>
      <c r="M48" s="259"/>
      <c r="N48" s="259"/>
      <c r="O48" s="166"/>
      <c r="P48" s="167"/>
      <c r="Q48" s="167"/>
      <c r="R48" s="166"/>
      <c r="S48" s="167"/>
      <c r="T48" s="149" t="s">
        <v>127</v>
      </c>
      <c r="U48" s="7"/>
      <c r="V48" s="7"/>
      <c r="W48" s="7"/>
      <c r="X48" s="7"/>
      <c r="Y48" s="7"/>
      <c r="Z48" s="7"/>
      <c r="AA48" s="7"/>
      <c r="AB48" s="7"/>
      <c r="AC48" s="7"/>
      <c r="AD48" s="7"/>
    </row>
    <row x14ac:dyDescent="0.25" r="49" customHeight="1" ht="18">
      <c r="A49" s="157">
        <v>42</v>
      </c>
      <c r="B49" s="115" t="s">
        <v>85</v>
      </c>
      <c r="C49" s="168"/>
      <c r="D49" s="260"/>
      <c r="E49" s="261"/>
      <c r="F49" s="260"/>
      <c r="G49" s="262"/>
      <c r="H49" s="262"/>
      <c r="I49" s="262"/>
      <c r="J49" s="262"/>
      <c r="K49" s="260"/>
      <c r="L49" s="262"/>
      <c r="M49" s="262"/>
      <c r="N49" s="262"/>
      <c r="O49" s="154"/>
      <c r="P49" s="155"/>
      <c r="Q49" s="155"/>
      <c r="R49" s="154"/>
      <c r="S49" s="155"/>
      <c r="T49" s="106"/>
      <c r="U49" s="7"/>
      <c r="V49" s="7"/>
      <c r="W49" s="7"/>
      <c r="X49" s="7"/>
      <c r="Y49" s="7"/>
      <c r="Z49" s="7"/>
      <c r="AA49" s="7"/>
      <c r="AB49" s="7"/>
      <c r="AC49" s="7"/>
      <c r="AD49" s="7"/>
    </row>
    <row x14ac:dyDescent="0.25" r="50" customHeight="1" ht="18">
      <c r="A50" s="157">
        <v>43</v>
      </c>
      <c r="B50" s="115" t="s">
        <v>87</v>
      </c>
      <c r="C50" s="168"/>
      <c r="D50" s="260"/>
      <c r="E50" s="261"/>
      <c r="F50" s="260"/>
      <c r="G50" s="262"/>
      <c r="H50" s="262"/>
      <c r="I50" s="262"/>
      <c r="J50" s="262"/>
      <c r="K50" s="260"/>
      <c r="L50" s="262"/>
      <c r="M50" s="262"/>
      <c r="N50" s="262"/>
      <c r="O50" s="154"/>
      <c r="P50" s="155"/>
      <c r="Q50" s="155"/>
      <c r="R50" s="154"/>
      <c r="S50" s="155"/>
      <c r="T50" s="106"/>
      <c r="U50" s="7"/>
      <c r="V50" s="7"/>
      <c r="W50" s="7"/>
      <c r="X50" s="7"/>
      <c r="Y50" s="7"/>
      <c r="Z50" s="7"/>
      <c r="AA50" s="7"/>
      <c r="AB50" s="7"/>
      <c r="AC50" s="7"/>
      <c r="AD50" s="7"/>
    </row>
    <row x14ac:dyDescent="0.25" r="51" customHeight="1" ht="18">
      <c r="A51" s="157">
        <v>44</v>
      </c>
      <c r="B51" s="115" t="s">
        <v>89</v>
      </c>
      <c r="C51" s="90" t="s">
        <v>128</v>
      </c>
      <c r="D51" s="231"/>
      <c r="E51" s="232"/>
      <c r="F51" s="231"/>
      <c r="G51" s="193"/>
      <c r="H51" s="193"/>
      <c r="I51" s="193"/>
      <c r="J51" s="193"/>
      <c r="K51" s="231"/>
      <c r="L51" s="193"/>
      <c r="M51" s="193"/>
      <c r="N51" s="193"/>
      <c r="O51" s="154"/>
      <c r="P51" s="155"/>
      <c r="Q51" s="12">
        <v>8500</v>
      </c>
      <c r="R51" s="154"/>
      <c r="S51" s="155"/>
      <c r="T51" s="106"/>
      <c r="U51" s="7"/>
      <c r="V51" s="7"/>
      <c r="W51" s="7"/>
      <c r="X51" s="7"/>
      <c r="Y51" s="7"/>
      <c r="Z51" s="7"/>
      <c r="AA51" s="7"/>
      <c r="AB51" s="7"/>
      <c r="AC51" s="7"/>
      <c r="AD51" s="7"/>
    </row>
    <row x14ac:dyDescent="0.25" r="52" customHeight="1" ht="18">
      <c r="A52" s="157">
        <v>45</v>
      </c>
      <c r="B52" s="115" t="s">
        <v>91</v>
      </c>
      <c r="C52" s="90" t="s">
        <v>129</v>
      </c>
      <c r="D52" s="231"/>
      <c r="E52" s="232"/>
      <c r="F52" s="231"/>
      <c r="G52" s="193"/>
      <c r="H52" s="193"/>
      <c r="I52" s="193"/>
      <c r="J52" s="193"/>
      <c r="K52" s="231"/>
      <c r="L52" s="193"/>
      <c r="M52" s="193"/>
      <c r="N52" s="193"/>
      <c r="O52" s="154"/>
      <c r="P52" s="155"/>
      <c r="Q52" s="12">
        <v>8500</v>
      </c>
      <c r="R52" s="154"/>
      <c r="S52" s="155"/>
      <c r="T52" s="106"/>
      <c r="U52" s="7"/>
      <c r="V52" s="7"/>
      <c r="W52" s="7"/>
      <c r="X52" s="7"/>
      <c r="Y52" s="7"/>
      <c r="Z52" s="7"/>
      <c r="AA52" s="7"/>
      <c r="AB52" s="7"/>
      <c r="AC52" s="7"/>
      <c r="AD52" s="7"/>
    </row>
    <row x14ac:dyDescent="0.25" r="53" customHeight="1" ht="18">
      <c r="A53" s="157">
        <v>46</v>
      </c>
      <c r="B53" s="115" t="s">
        <v>93</v>
      </c>
      <c r="C53" s="90" t="s">
        <v>130</v>
      </c>
      <c r="D53" s="231"/>
      <c r="E53" s="232"/>
      <c r="F53" s="231"/>
      <c r="G53" s="193"/>
      <c r="H53" s="193"/>
      <c r="I53" s="193"/>
      <c r="J53" s="193"/>
      <c r="K53" s="231"/>
      <c r="L53" s="193"/>
      <c r="M53" s="193"/>
      <c r="N53" s="193"/>
      <c r="O53" s="154"/>
      <c r="P53" s="155"/>
      <c r="Q53" s="12">
        <v>6000</v>
      </c>
      <c r="R53" s="154"/>
      <c r="S53" s="155"/>
      <c r="T53" s="106"/>
      <c r="U53" s="7"/>
      <c r="V53" s="7"/>
      <c r="W53" s="7"/>
      <c r="X53" s="7"/>
      <c r="Y53" s="7"/>
      <c r="Z53" s="7"/>
      <c r="AA53" s="7"/>
      <c r="AB53" s="7"/>
      <c r="AC53" s="7"/>
      <c r="AD53" s="7"/>
    </row>
    <row x14ac:dyDescent="0.25" r="54" customHeight="1" ht="18">
      <c r="A54" s="157">
        <v>47</v>
      </c>
      <c r="B54" s="123" t="s">
        <v>131</v>
      </c>
      <c r="C54" s="162"/>
      <c r="D54" s="155"/>
      <c r="E54" s="256"/>
      <c r="F54" s="155"/>
      <c r="G54" s="154"/>
      <c r="H54" s="154"/>
      <c r="I54" s="154"/>
      <c r="J54" s="154"/>
      <c r="K54" s="155"/>
      <c r="L54" s="154"/>
      <c r="M54" s="154"/>
      <c r="N54" s="154"/>
      <c r="O54" s="154"/>
      <c r="P54" s="155"/>
      <c r="Q54" s="155"/>
      <c r="R54" s="154"/>
      <c r="S54" s="155"/>
      <c r="T54" s="106"/>
      <c r="U54" s="7"/>
      <c r="V54" s="7"/>
      <c r="W54" s="7"/>
      <c r="X54" s="7"/>
      <c r="Y54" s="7"/>
      <c r="Z54" s="7"/>
      <c r="AA54" s="7"/>
      <c r="AB54" s="7"/>
      <c r="AC54" s="7"/>
      <c r="AD54" s="7"/>
    </row>
    <row x14ac:dyDescent="0.25" r="55" customHeight="1" ht="18">
      <c r="A55" s="157">
        <v>48</v>
      </c>
      <c r="B55" s="123" t="s">
        <v>132</v>
      </c>
      <c r="C55" s="162"/>
      <c r="D55" s="155"/>
      <c r="E55" s="256"/>
      <c r="F55" s="155"/>
      <c r="G55" s="154"/>
      <c r="H55" s="154"/>
      <c r="I55" s="154"/>
      <c r="J55" s="154"/>
      <c r="K55" s="155"/>
      <c r="L55" s="154"/>
      <c r="M55" s="154"/>
      <c r="N55" s="154"/>
      <c r="O55" s="154"/>
      <c r="P55" s="155"/>
      <c r="Q55" s="155"/>
      <c r="R55" s="154"/>
      <c r="S55" s="128"/>
      <c r="T55" s="106"/>
      <c r="U55" s="7"/>
      <c r="V55" s="7"/>
      <c r="W55" s="7"/>
      <c r="X55" s="7"/>
      <c r="Y55" s="7"/>
      <c r="Z55" s="7"/>
      <c r="AA55" s="7"/>
      <c r="AB55" s="7"/>
      <c r="AC55" s="7"/>
      <c r="AD55" s="7"/>
    </row>
    <row x14ac:dyDescent="0.25" r="56" customHeight="1" ht="18">
      <c r="A56" s="169"/>
      <c r="B56" s="170"/>
      <c r="C56" s="171">
        <v>30</v>
      </c>
      <c r="D56" s="170"/>
      <c r="E56" s="263"/>
      <c r="F56" s="170"/>
      <c r="G56" s="264"/>
      <c r="H56" s="264"/>
      <c r="I56" s="264"/>
      <c r="J56" s="264"/>
      <c r="K56" s="170"/>
      <c r="L56" s="264"/>
      <c r="M56" s="264"/>
      <c r="N56" s="264"/>
      <c r="O56" s="172"/>
      <c r="P56" s="173">
        <f>SUM(P2:P55)</f>
      </c>
      <c r="Q56" s="173">
        <f>SUM(Q3:Q55)</f>
      </c>
      <c r="R56" s="172"/>
      <c r="S56" s="173">
        <f>SUM(S3:S55)</f>
      </c>
      <c r="T56" s="106"/>
      <c r="U56" s="7"/>
      <c r="V56" s="7"/>
      <c r="W56" s="7"/>
      <c r="X56" s="7"/>
      <c r="Y56" s="7"/>
      <c r="Z56" s="7"/>
      <c r="AA56" s="7"/>
      <c r="AB56" s="7"/>
      <c r="AC56" s="7"/>
      <c r="AD56" s="7"/>
    </row>
    <row x14ac:dyDescent="0.25" r="57" customHeight="1" ht="18">
      <c r="A57" s="11"/>
      <c r="B57" s="141"/>
      <c r="C57" s="141"/>
      <c r="D57" s="141"/>
      <c r="E57" s="265"/>
      <c r="F57" s="141"/>
      <c r="G57" s="106"/>
      <c r="H57" s="106"/>
      <c r="I57" s="106"/>
      <c r="J57" s="106"/>
      <c r="K57" s="141"/>
      <c r="L57" s="106"/>
      <c r="M57" s="106"/>
      <c r="N57" s="106"/>
      <c r="O57" s="106"/>
      <c r="P57" s="141"/>
      <c r="Q57" s="141"/>
      <c r="R57" s="106"/>
      <c r="S57" s="141"/>
      <c r="T57" s="106"/>
      <c r="U57" s="7"/>
      <c r="V57" s="7"/>
      <c r="W57" s="7"/>
      <c r="X57" s="7"/>
      <c r="Y57" s="7"/>
      <c r="Z57" s="7"/>
      <c r="AA57" s="7"/>
      <c r="AB57" s="7"/>
      <c r="AC57" s="7"/>
      <c r="AD57" s="7"/>
    </row>
    <row x14ac:dyDescent="0.25" r="58" customHeight="1" ht="18">
      <c r="A58" s="141"/>
      <c r="B58" s="141"/>
      <c r="C58" s="141"/>
      <c r="D58" s="141"/>
      <c r="E58" s="265"/>
      <c r="F58" s="141"/>
      <c r="G58" s="106"/>
      <c r="H58" s="106"/>
      <c r="I58" s="106"/>
      <c r="J58" s="106"/>
      <c r="K58" s="141"/>
      <c r="L58" s="106"/>
      <c r="M58" s="106"/>
      <c r="N58" s="106"/>
      <c r="O58" s="106"/>
      <c r="P58" s="141"/>
      <c r="Q58" s="141"/>
      <c r="R58" s="106"/>
      <c r="S58" s="141"/>
      <c r="T58" s="106"/>
      <c r="U58" s="7"/>
      <c r="V58" s="7"/>
      <c r="W58" s="7"/>
      <c r="X58" s="7"/>
      <c r="Y58" s="7"/>
      <c r="Z58" s="7"/>
      <c r="AA58" s="7"/>
      <c r="AB58" s="7"/>
      <c r="AC58" s="7"/>
      <c r="AD58" s="7"/>
    </row>
    <row x14ac:dyDescent="0.25" r="59" customHeight="1" ht="18">
      <c r="A59" s="141"/>
      <c r="B59" s="141"/>
      <c r="C59" s="141"/>
      <c r="D59" s="141"/>
      <c r="E59" s="265"/>
      <c r="F59" s="141"/>
      <c r="G59" s="106"/>
      <c r="H59" s="106"/>
      <c r="I59" s="106"/>
      <c r="J59" s="106"/>
      <c r="K59" s="141"/>
      <c r="L59" s="106"/>
      <c r="M59" s="106"/>
      <c r="N59" s="106"/>
      <c r="O59" s="106"/>
      <c r="P59" s="141"/>
      <c r="Q59" s="141"/>
      <c r="R59" s="106"/>
      <c r="S59" s="141"/>
      <c r="T59" s="130"/>
      <c r="U59" s="7"/>
      <c r="V59" s="7"/>
      <c r="W59" s="7"/>
      <c r="X59" s="7"/>
      <c r="Y59" s="7"/>
      <c r="Z59" s="7"/>
      <c r="AA59" s="7"/>
      <c r="AB59" s="7"/>
      <c r="AC59" s="7"/>
      <c r="AD59" s="7"/>
    </row>
    <row x14ac:dyDescent="0.25" r="60" customHeight="1" ht="18">
      <c r="A60" s="141"/>
      <c r="B60" s="141"/>
      <c r="C60" s="141"/>
      <c r="D60" s="141"/>
      <c r="E60" s="265"/>
      <c r="F60" s="141"/>
      <c r="G60" s="106"/>
      <c r="H60" s="106"/>
      <c r="I60" s="106"/>
      <c r="J60" s="106"/>
      <c r="K60" s="141"/>
      <c r="L60" s="106"/>
      <c r="M60" s="106"/>
      <c r="N60" s="106"/>
      <c r="O60" s="106"/>
      <c r="P60" s="141"/>
      <c r="Q60" s="141"/>
      <c r="R60" s="106"/>
      <c r="S60" s="174"/>
      <c r="T60" s="106"/>
      <c r="U60" s="7"/>
      <c r="V60" s="7"/>
      <c r="W60" s="7"/>
      <c r="X60" s="7"/>
      <c r="Y60" s="7"/>
      <c r="Z60" s="7"/>
      <c r="AA60" s="7"/>
      <c r="AB60" s="7"/>
      <c r="AC60" s="7"/>
      <c r="AD60" s="7"/>
    </row>
    <row x14ac:dyDescent="0.25" r="61" customHeight="1" ht="18">
      <c r="A61" s="141"/>
      <c r="B61" s="141"/>
      <c r="C61" s="141"/>
      <c r="D61" s="141"/>
      <c r="E61" s="265"/>
      <c r="F61" s="141"/>
      <c r="G61" s="106"/>
      <c r="H61" s="106"/>
      <c r="I61" s="106"/>
      <c r="J61" s="106"/>
      <c r="K61" s="141"/>
      <c r="L61" s="106"/>
      <c r="M61" s="106"/>
      <c r="N61" s="106"/>
      <c r="O61" s="106"/>
      <c r="P61" s="141"/>
      <c r="Q61" s="141"/>
      <c r="R61" s="106"/>
      <c r="S61" s="174"/>
      <c r="T61" s="106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</row>
    <row x14ac:dyDescent="0.25" r="62" customHeight="1" ht="18">
      <c r="A62" s="141"/>
      <c r="B62" s="141"/>
      <c r="C62" s="141"/>
      <c r="D62" s="141"/>
      <c r="E62" s="265"/>
      <c r="F62" s="141"/>
      <c r="G62" s="106"/>
      <c r="H62" s="106"/>
      <c r="I62" s="106"/>
      <c r="J62" s="106"/>
      <c r="K62" s="141"/>
      <c r="L62" s="106"/>
      <c r="M62" s="106"/>
      <c r="N62" s="106"/>
      <c r="O62" s="106"/>
      <c r="P62" s="141"/>
      <c r="Q62" s="141"/>
      <c r="R62" s="106"/>
      <c r="S62" s="174"/>
      <c r="T62" s="106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</row>
    <row x14ac:dyDescent="0.25" r="63" customHeight="1" ht="18">
      <c r="A63" s="141"/>
      <c r="B63" s="141"/>
      <c r="C63" s="141"/>
      <c r="D63" s="141"/>
      <c r="E63" s="265"/>
      <c r="F63" s="141"/>
      <c r="G63" s="106"/>
      <c r="H63" s="106"/>
      <c r="I63" s="106"/>
      <c r="J63" s="106"/>
      <c r="K63" s="141"/>
      <c r="L63" s="106"/>
      <c r="M63" s="106"/>
      <c r="N63" s="106"/>
      <c r="O63" s="106"/>
      <c r="P63" s="141"/>
      <c r="Q63" s="141"/>
      <c r="R63" s="106"/>
      <c r="S63" s="174"/>
      <c r="T63" s="106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</row>
    <row x14ac:dyDescent="0.25" r="64" customHeight="1" ht="15.75">
      <c r="A64" s="141"/>
      <c r="B64" s="141"/>
      <c r="C64" s="141"/>
      <c r="D64" s="141"/>
      <c r="E64" s="265"/>
      <c r="F64" s="141"/>
      <c r="G64" s="106"/>
      <c r="H64" s="106"/>
      <c r="I64" s="106"/>
      <c r="J64" s="106"/>
      <c r="K64" s="141"/>
      <c r="L64" s="106"/>
      <c r="M64" s="106"/>
      <c r="N64" s="106"/>
      <c r="O64" s="106"/>
      <c r="P64" s="141"/>
      <c r="Q64" s="141"/>
      <c r="R64" s="106"/>
      <c r="S64" s="174"/>
      <c r="T64" s="14"/>
      <c r="U64" s="7"/>
      <c r="V64" s="7"/>
      <c r="W64" s="7"/>
      <c r="X64" s="7"/>
      <c r="Y64" s="7"/>
      <c r="Z64" s="7"/>
      <c r="AA64" s="7"/>
      <c r="AB64" s="7"/>
      <c r="AC64" s="7"/>
      <c r="AD64" s="7"/>
    </row>
    <row x14ac:dyDescent="0.25" r="65" customHeight="1" ht="18">
      <c r="A65" s="141"/>
      <c r="B65" s="141"/>
      <c r="C65" s="141"/>
      <c r="D65" s="141"/>
      <c r="E65" s="265"/>
      <c r="F65" s="141"/>
      <c r="G65" s="106"/>
      <c r="H65" s="106"/>
      <c r="I65" s="106"/>
      <c r="J65" s="106"/>
      <c r="K65" s="141"/>
      <c r="L65" s="106"/>
      <c r="M65" s="106"/>
      <c r="N65" s="106"/>
      <c r="O65" s="106"/>
      <c r="P65" s="141"/>
      <c r="Q65" s="141"/>
      <c r="R65" s="106"/>
      <c r="S65" s="174"/>
      <c r="T65" s="14"/>
      <c r="U65" s="7"/>
      <c r="V65" s="7"/>
      <c r="W65" s="7"/>
      <c r="X65" s="7"/>
      <c r="Y65" s="7"/>
      <c r="Z65" s="7"/>
      <c r="AA65" s="7"/>
      <c r="AB65" s="7"/>
      <c r="AC65" s="7"/>
      <c r="AD65" s="7"/>
    </row>
    <row x14ac:dyDescent="0.25" r="66" customHeight="1" ht="15.75">
      <c r="A66" s="141"/>
      <c r="B66" s="141"/>
      <c r="C66" s="141"/>
      <c r="D66" s="141"/>
      <c r="E66" s="265"/>
      <c r="F66" s="141"/>
      <c r="G66" s="106"/>
      <c r="H66" s="106"/>
      <c r="I66" s="106"/>
      <c r="J66" s="106"/>
      <c r="K66" s="141"/>
      <c r="L66" s="106"/>
      <c r="M66" s="106"/>
      <c r="N66" s="106"/>
      <c r="O66" s="106"/>
      <c r="P66" s="141"/>
      <c r="Q66" s="141"/>
      <c r="R66" s="106"/>
      <c r="S66" s="174"/>
      <c r="T66" s="14"/>
      <c r="U66" s="7"/>
      <c r="V66" s="7"/>
      <c r="W66" s="7"/>
      <c r="X66" s="7"/>
      <c r="Y66" s="7"/>
      <c r="Z66" s="7"/>
      <c r="AA66" s="7"/>
      <c r="AB66" s="7"/>
      <c r="AC66" s="7"/>
      <c r="AD66" s="7"/>
    </row>
    <row x14ac:dyDescent="0.25" r="67" customHeight="1" ht="15.75">
      <c r="A67" s="141"/>
      <c r="B67" s="141"/>
      <c r="C67" s="141"/>
      <c r="D67" s="141"/>
      <c r="E67" s="265"/>
      <c r="F67" s="141"/>
      <c r="G67" s="106"/>
      <c r="H67" s="106"/>
      <c r="I67" s="106"/>
      <c r="J67" s="106"/>
      <c r="K67" s="141"/>
      <c r="L67" s="106"/>
      <c r="M67" s="106"/>
      <c r="N67" s="106"/>
      <c r="O67" s="106"/>
      <c r="P67" s="141"/>
      <c r="Q67" s="141"/>
      <c r="R67" s="106"/>
      <c r="S67" s="174"/>
      <c r="T67" s="14"/>
      <c r="U67" s="7"/>
      <c r="V67" s="7"/>
      <c r="W67" s="7"/>
      <c r="X67" s="7"/>
      <c r="Y67" s="7"/>
      <c r="Z67" s="7"/>
      <c r="AA67" s="7"/>
      <c r="AB67" s="7"/>
      <c r="AC67" s="7"/>
      <c r="AD67" s="7"/>
    </row>
    <row x14ac:dyDescent="0.25" r="68" customHeight="1" ht="15.75">
      <c r="A68" s="141"/>
      <c r="B68" s="141"/>
      <c r="C68" s="141"/>
      <c r="D68" s="141"/>
      <c r="E68" s="265"/>
      <c r="F68" s="141"/>
      <c r="G68" s="106"/>
      <c r="H68" s="106"/>
      <c r="I68" s="106"/>
      <c r="J68" s="106"/>
      <c r="K68" s="141"/>
      <c r="L68" s="106"/>
      <c r="M68" s="106"/>
      <c r="N68" s="106"/>
      <c r="O68" s="106"/>
      <c r="P68" s="141"/>
      <c r="Q68" s="141"/>
      <c r="R68" s="106"/>
      <c r="S68" s="174"/>
      <c r="T68" s="14"/>
      <c r="U68" s="7"/>
      <c r="V68" s="7"/>
      <c r="W68" s="7"/>
      <c r="X68" s="7"/>
      <c r="Y68" s="7"/>
      <c r="Z68" s="7"/>
      <c r="AA68" s="7"/>
      <c r="AB68" s="7"/>
      <c r="AC68" s="7"/>
      <c r="AD68" s="7"/>
    </row>
    <row x14ac:dyDescent="0.25" r="69" customHeight="1" ht="15.75">
      <c r="A69" s="141"/>
      <c r="B69" s="141"/>
      <c r="C69" s="141"/>
      <c r="D69" s="141"/>
      <c r="E69" s="265"/>
      <c r="F69" s="141"/>
      <c r="G69" s="106"/>
      <c r="H69" s="106"/>
      <c r="I69" s="106"/>
      <c r="J69" s="106"/>
      <c r="K69" s="141"/>
      <c r="L69" s="106"/>
      <c r="M69" s="106"/>
      <c r="N69" s="106"/>
      <c r="O69" s="106"/>
      <c r="P69" s="141"/>
      <c r="Q69" s="141"/>
      <c r="R69" s="106"/>
      <c r="S69" s="174"/>
      <c r="T69" s="14"/>
      <c r="U69" s="7"/>
      <c r="V69" s="7"/>
      <c r="W69" s="7"/>
      <c r="X69" s="7"/>
      <c r="Y69" s="7"/>
      <c r="Z69" s="7"/>
      <c r="AA69" s="7"/>
      <c r="AB69" s="7"/>
      <c r="AC69" s="7"/>
      <c r="AD69" s="7"/>
    </row>
    <row x14ac:dyDescent="0.25" r="70" customHeight="1" ht="15.75">
      <c r="A70" s="141"/>
      <c r="B70" s="141"/>
      <c r="C70" s="141"/>
      <c r="D70" s="141"/>
      <c r="E70" s="265"/>
      <c r="F70" s="141"/>
      <c r="G70" s="106"/>
      <c r="H70" s="106"/>
      <c r="I70" s="106"/>
      <c r="J70" s="106"/>
      <c r="K70" s="141"/>
      <c r="L70" s="106"/>
      <c r="M70" s="106"/>
      <c r="N70" s="106"/>
      <c r="O70" s="106"/>
      <c r="P70" s="141"/>
      <c r="Q70" s="141"/>
      <c r="R70" s="106"/>
      <c r="S70" s="174"/>
      <c r="T70" s="14"/>
      <c r="U70" s="7"/>
      <c r="V70" s="7"/>
      <c r="W70" s="7"/>
      <c r="X70" s="7"/>
      <c r="Y70" s="7"/>
      <c r="Z70" s="7"/>
      <c r="AA70" s="7"/>
      <c r="AB70" s="7"/>
      <c r="AC70" s="7"/>
      <c r="AD70" s="7"/>
    </row>
    <row x14ac:dyDescent="0.25" r="71" customHeight="1" ht="15.75">
      <c r="A71" s="141"/>
      <c r="B71" s="141"/>
      <c r="C71" s="141"/>
      <c r="D71" s="141"/>
      <c r="E71" s="265"/>
      <c r="F71" s="141"/>
      <c r="G71" s="106"/>
      <c r="H71" s="106"/>
      <c r="I71" s="106"/>
      <c r="J71" s="106"/>
      <c r="K71" s="141"/>
      <c r="L71" s="106"/>
      <c r="M71" s="106"/>
      <c r="N71" s="106"/>
      <c r="O71" s="106"/>
      <c r="P71" s="141"/>
      <c r="Q71" s="141"/>
      <c r="R71" s="106"/>
      <c r="S71" s="174"/>
      <c r="T71" s="14"/>
      <c r="U71" s="7"/>
      <c r="V71" s="7"/>
      <c r="W71" s="7"/>
      <c r="X71" s="7"/>
      <c r="Y71" s="7"/>
      <c r="Z71" s="7"/>
      <c r="AA71" s="7"/>
      <c r="AB71" s="7"/>
      <c r="AC71" s="7"/>
      <c r="AD71" s="7"/>
    </row>
    <row x14ac:dyDescent="0.25" r="72" customHeight="1" ht="15.75">
      <c r="A72" s="141"/>
      <c r="B72" s="141"/>
      <c r="C72" s="141"/>
      <c r="D72" s="141"/>
      <c r="E72" s="265"/>
      <c r="F72" s="141"/>
      <c r="G72" s="106"/>
      <c r="H72" s="106"/>
      <c r="I72" s="106"/>
      <c r="J72" s="106"/>
      <c r="K72" s="141"/>
      <c r="L72" s="106"/>
      <c r="M72" s="106"/>
      <c r="N72" s="106"/>
      <c r="O72" s="106"/>
      <c r="P72" s="141"/>
      <c r="Q72" s="141"/>
      <c r="R72" s="106"/>
      <c r="S72" s="174"/>
      <c r="T72" s="14"/>
      <c r="U72" s="7"/>
      <c r="V72" s="7"/>
      <c r="W72" s="7"/>
      <c r="X72" s="7"/>
      <c r="Y72" s="7"/>
      <c r="Z72" s="7"/>
      <c r="AA72" s="7"/>
      <c r="AB72" s="7"/>
      <c r="AC72" s="7"/>
      <c r="AD7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7" width="13.147857142857141" customWidth="1" bestFit="1"/>
    <col min="2" max="2" style="17" width="10.290714285714287" customWidth="1" bestFit="1"/>
    <col min="3" max="3" style="17" width="20.433571428571426" customWidth="1" bestFit="1"/>
    <col min="4" max="4" style="16" width="6.862142857142857" customWidth="1" bestFit="1"/>
    <col min="5" max="5" style="17" width="10.290714285714287" customWidth="1" bestFit="1"/>
    <col min="6" max="6" style="17" width="9.43357142857143" customWidth="1" bestFit="1"/>
    <col min="7" max="7" style="16" width="12.290714285714287" customWidth="1" bestFit="1"/>
    <col min="8" max="8" style="16" width="6.576428571428571" customWidth="1" bestFit="1"/>
    <col min="9" max="9" style="16" width="6.147857142857143" customWidth="1" bestFit="1"/>
    <col min="10" max="10" style="16" width="6.005" customWidth="1" bestFit="1"/>
    <col min="11" max="11" style="17" width="4.862142857142857" customWidth="1" bestFit="1"/>
    <col min="12" max="12" style="17" width="4.576428571428571" customWidth="1" bestFit="1"/>
    <col min="13" max="13" style="17" width="4.433571428571429" customWidth="1" bestFit="1"/>
    <col min="14" max="14" style="17" width="5.005" customWidth="1" bestFit="1"/>
    <col min="15" max="15" style="17" width="4.576428571428571" customWidth="1" bestFit="1"/>
    <col min="16" max="16" style="17" width="9.43357142857143" customWidth="1" bestFit="1"/>
    <col min="17" max="17" style="17" width="9.719285714285713" customWidth="1" bestFit="1"/>
    <col min="18" max="18" style="17" width="10.290714285714287" customWidth="1" bestFit="1"/>
    <col min="19" max="19" style="17" width="9.862142857142858" customWidth="1" bestFit="1"/>
    <col min="20" max="20" style="16" width="77.57642857142856" customWidth="1" bestFit="1"/>
  </cols>
  <sheetData>
    <row x14ac:dyDescent="0.25" r="1" customHeight="1" ht="18">
      <c r="A1" s="176" t="s">
        <v>133</v>
      </c>
      <c r="B1" s="97" t="s">
        <v>72</v>
      </c>
      <c r="C1" s="97" t="s">
        <v>0</v>
      </c>
      <c r="D1" s="98" t="s">
        <v>73</v>
      </c>
      <c r="E1" s="97" t="s">
        <v>74</v>
      </c>
      <c r="F1" s="97" t="s">
        <v>75</v>
      </c>
      <c r="G1" s="99" t="s">
        <v>76</v>
      </c>
      <c r="H1" s="99" t="s">
        <v>134</v>
      </c>
      <c r="I1" s="99" t="s">
        <v>135</v>
      </c>
      <c r="J1" s="99" t="s">
        <v>77</v>
      </c>
      <c r="K1" s="97" t="s">
        <v>78</v>
      </c>
      <c r="L1" s="97" t="s">
        <v>79</v>
      </c>
      <c r="M1" s="97" t="s">
        <v>80</v>
      </c>
      <c r="N1" s="97" t="s">
        <v>81</v>
      </c>
      <c r="O1" s="97" t="s">
        <v>82</v>
      </c>
      <c r="P1" s="100">
        <v>46023</v>
      </c>
      <c r="Q1" s="100">
        <v>60299</v>
      </c>
      <c r="R1" s="100">
        <v>46082</v>
      </c>
      <c r="S1" s="100">
        <v>46113</v>
      </c>
      <c r="T1" s="99" t="s">
        <v>2</v>
      </c>
    </row>
    <row x14ac:dyDescent="0.25" r="2" customHeight="1" ht="18">
      <c r="A2" s="177" t="s">
        <v>136</v>
      </c>
      <c r="B2" s="178">
        <v>14</v>
      </c>
      <c r="C2" s="105"/>
      <c r="D2" s="104"/>
      <c r="E2" s="105"/>
      <c r="F2" s="105"/>
      <c r="G2" s="104"/>
      <c r="H2" s="104"/>
      <c r="I2" s="104"/>
      <c r="J2" s="104"/>
      <c r="K2" s="105"/>
      <c r="L2" s="105"/>
      <c r="M2" s="105"/>
      <c r="N2" s="105"/>
      <c r="O2" s="105"/>
      <c r="P2" s="105"/>
      <c r="Q2" s="105"/>
      <c r="R2" s="105"/>
      <c r="S2" s="105"/>
      <c r="T2" s="104"/>
    </row>
    <row x14ac:dyDescent="0.25" r="3" customHeight="1" ht="18">
      <c r="A3" s="107">
        <v>1</v>
      </c>
      <c r="B3" s="139" t="s">
        <v>137</v>
      </c>
      <c r="C3" s="162" t="s">
        <v>138</v>
      </c>
      <c r="D3" s="153"/>
      <c r="E3" s="114"/>
      <c r="F3" s="12">
        <v>8700</v>
      </c>
      <c r="G3" s="112"/>
      <c r="H3" s="112"/>
      <c r="I3" s="112"/>
      <c r="J3" s="112"/>
      <c r="K3" s="111"/>
      <c r="L3" s="111"/>
      <c r="M3" s="111"/>
      <c r="N3" s="111"/>
      <c r="O3" s="111"/>
      <c r="P3" s="113"/>
      <c r="Q3" s="113"/>
      <c r="R3" s="113"/>
      <c r="S3" s="113"/>
      <c r="T3" s="106"/>
    </row>
    <row x14ac:dyDescent="0.25" r="4" customHeight="1" ht="18">
      <c r="A4" s="107">
        <v>2</v>
      </c>
      <c r="B4" s="139" t="s">
        <v>139</v>
      </c>
      <c r="C4" s="162" t="s">
        <v>140</v>
      </c>
      <c r="D4" s="153"/>
      <c r="E4" s="12">
        <v>8500</v>
      </c>
      <c r="F4" s="12">
        <v>8900</v>
      </c>
      <c r="G4" s="112"/>
      <c r="H4" s="112"/>
      <c r="I4" s="112"/>
      <c r="J4" s="112"/>
      <c r="K4" s="111"/>
      <c r="L4" s="111"/>
      <c r="M4" s="111"/>
      <c r="N4" s="111"/>
      <c r="O4" s="111"/>
      <c r="P4" s="113"/>
      <c r="Q4" s="113"/>
      <c r="R4" s="113"/>
      <c r="S4" s="113"/>
      <c r="T4" s="106"/>
    </row>
    <row x14ac:dyDescent="0.25" r="5" customHeight="1" ht="18">
      <c r="A5" s="179"/>
      <c r="B5" s="180"/>
      <c r="C5" s="181"/>
      <c r="D5" s="182"/>
      <c r="E5" s="183"/>
      <c r="F5" s="183"/>
      <c r="G5" s="184"/>
      <c r="H5" s="184"/>
      <c r="I5" s="184"/>
      <c r="J5" s="184"/>
      <c r="K5" s="183"/>
      <c r="L5" s="183"/>
      <c r="M5" s="183"/>
      <c r="N5" s="183"/>
      <c r="O5" s="183"/>
      <c r="P5" s="185"/>
      <c r="Q5" s="185"/>
      <c r="R5" s="185"/>
      <c r="S5" s="185"/>
      <c r="T5" s="186"/>
    </row>
    <row x14ac:dyDescent="0.25" r="6" customHeight="1" ht="18">
      <c r="A6" s="107">
        <v>3</v>
      </c>
      <c r="B6" s="139" t="s">
        <v>141</v>
      </c>
      <c r="C6" s="162" t="s">
        <v>142</v>
      </c>
      <c r="D6" s="153"/>
      <c r="E6" s="12">
        <v>8300</v>
      </c>
      <c r="F6" s="12">
        <v>7000</v>
      </c>
      <c r="G6" s="112"/>
      <c r="H6" s="112"/>
      <c r="I6" s="112"/>
      <c r="J6" s="112"/>
      <c r="K6" s="111"/>
      <c r="L6" s="111"/>
      <c r="M6" s="111"/>
      <c r="N6" s="111"/>
      <c r="O6" s="111"/>
      <c r="P6" s="113"/>
      <c r="Q6" s="113"/>
      <c r="R6" s="113"/>
      <c r="S6" s="113"/>
      <c r="T6" s="106"/>
    </row>
    <row x14ac:dyDescent="0.25" r="7" customHeight="1" ht="18">
      <c r="A7" s="122">
        <v>4</v>
      </c>
      <c r="B7" s="139" t="s">
        <v>143</v>
      </c>
      <c r="C7" s="162" t="s">
        <v>144</v>
      </c>
      <c r="D7" s="153"/>
      <c r="E7" s="12">
        <v>6500</v>
      </c>
      <c r="F7" s="12">
        <v>8500</v>
      </c>
      <c r="G7" s="112"/>
      <c r="H7" s="112"/>
      <c r="I7" s="112"/>
      <c r="J7" s="112"/>
      <c r="K7" s="111"/>
      <c r="L7" s="111"/>
      <c r="M7" s="111"/>
      <c r="N7" s="111"/>
      <c r="O7" s="111"/>
      <c r="P7" s="113"/>
      <c r="Q7" s="113"/>
      <c r="R7" s="113"/>
      <c r="S7" s="113"/>
      <c r="T7" s="106"/>
    </row>
    <row x14ac:dyDescent="0.25" r="8" customHeight="1" ht="18">
      <c r="A8" s="122">
        <v>5</v>
      </c>
      <c r="B8" s="139" t="s">
        <v>145</v>
      </c>
      <c r="C8" s="162" t="s">
        <v>146</v>
      </c>
      <c r="D8" s="153"/>
      <c r="E8" s="114"/>
      <c r="F8" s="12">
        <v>8500</v>
      </c>
      <c r="G8" s="112"/>
      <c r="H8" s="112"/>
      <c r="I8" s="112"/>
      <c r="J8" s="112"/>
      <c r="K8" s="111"/>
      <c r="L8" s="111"/>
      <c r="M8" s="111"/>
      <c r="N8" s="111"/>
      <c r="O8" s="111"/>
      <c r="P8" s="113"/>
      <c r="Q8" s="113"/>
      <c r="R8" s="113"/>
      <c r="S8" s="113"/>
      <c r="T8" s="106"/>
    </row>
    <row x14ac:dyDescent="0.25" r="9" customHeight="1" ht="18">
      <c r="A9" s="179"/>
      <c r="B9" s="180"/>
      <c r="C9" s="181"/>
      <c r="D9" s="182"/>
      <c r="E9" s="183"/>
      <c r="F9" s="183"/>
      <c r="G9" s="184"/>
      <c r="H9" s="184"/>
      <c r="I9" s="184"/>
      <c r="J9" s="184"/>
      <c r="K9" s="183"/>
      <c r="L9" s="183"/>
      <c r="M9" s="183"/>
      <c r="N9" s="183"/>
      <c r="O9" s="183"/>
      <c r="P9" s="185"/>
      <c r="Q9" s="185"/>
      <c r="R9" s="185"/>
      <c r="S9" s="185"/>
      <c r="T9" s="186"/>
    </row>
    <row x14ac:dyDescent="0.25" r="10" customHeight="1" ht="18">
      <c r="A10" s="116">
        <v>6</v>
      </c>
      <c r="B10" s="187">
        <v>45304</v>
      </c>
      <c r="C10" s="159"/>
      <c r="D10" s="188"/>
      <c r="E10" s="114"/>
      <c r="F10" s="12"/>
      <c r="G10" s="153"/>
      <c r="H10" s="153"/>
      <c r="I10" s="153"/>
      <c r="J10" s="127"/>
      <c r="K10" s="128"/>
      <c r="L10" s="128"/>
      <c r="M10" s="128"/>
      <c r="N10" s="128"/>
      <c r="O10" s="128"/>
      <c r="P10" s="113"/>
      <c r="Q10" s="113"/>
      <c r="R10" s="113"/>
      <c r="S10" s="113"/>
      <c r="T10" s="106"/>
    </row>
    <row x14ac:dyDescent="0.25" r="11" customHeight="1" ht="18">
      <c r="A11" s="107">
        <v>7</v>
      </c>
      <c r="B11" s="189">
        <v>45335</v>
      </c>
      <c r="C11" s="190" t="s">
        <v>147</v>
      </c>
      <c r="D11" s="14"/>
      <c r="E11" s="90">
        <v>8500</v>
      </c>
      <c r="F11" s="12">
        <v>8500</v>
      </c>
      <c r="G11" s="112"/>
      <c r="H11" s="112"/>
      <c r="I11" s="112"/>
      <c r="J11" s="112"/>
      <c r="K11" s="111"/>
      <c r="L11" s="111"/>
      <c r="M11" s="111"/>
      <c r="N11" s="111"/>
      <c r="O11" s="111"/>
      <c r="P11" s="113"/>
      <c r="Q11" s="113"/>
      <c r="R11" s="113"/>
      <c r="S11" s="113"/>
      <c r="T11" s="106" t="s">
        <v>148</v>
      </c>
    </row>
    <row x14ac:dyDescent="0.25" r="12" customHeight="1" ht="18">
      <c r="A12" s="107">
        <v>8</v>
      </c>
      <c r="B12" s="189">
        <v>45364</v>
      </c>
      <c r="C12" s="190" t="s">
        <v>149</v>
      </c>
      <c r="D12" s="14"/>
      <c r="E12" s="90">
        <v>8000</v>
      </c>
      <c r="F12" s="191">
        <v>8000</v>
      </c>
      <c r="G12" s="112"/>
      <c r="H12" s="112"/>
      <c r="I12" s="112"/>
      <c r="J12" s="112"/>
      <c r="K12" s="111"/>
      <c r="L12" s="111"/>
      <c r="M12" s="111"/>
      <c r="N12" s="111"/>
      <c r="O12" s="111"/>
      <c r="P12" s="113"/>
      <c r="Q12" s="113"/>
      <c r="R12" s="113"/>
      <c r="S12" s="113"/>
      <c r="T12" s="106" t="s">
        <v>150</v>
      </c>
    </row>
    <row x14ac:dyDescent="0.25" r="13" customHeight="1" ht="18">
      <c r="A13" s="107">
        <v>9</v>
      </c>
      <c r="B13" s="192">
        <v>45395</v>
      </c>
      <c r="C13" s="190" t="s">
        <v>151</v>
      </c>
      <c r="D13" s="14"/>
      <c r="E13" s="90">
        <v>8000</v>
      </c>
      <c r="F13" s="12">
        <v>8000</v>
      </c>
      <c r="G13" s="3"/>
      <c r="H13" s="193"/>
      <c r="I13" s="193"/>
      <c r="J13" s="112"/>
      <c r="K13" s="111"/>
      <c r="L13" s="111"/>
      <c r="M13" s="111"/>
      <c r="N13" s="111"/>
      <c r="O13" s="111"/>
      <c r="P13" s="113"/>
      <c r="Q13" s="113"/>
      <c r="R13" s="113"/>
      <c r="S13" s="113"/>
      <c r="T13" s="14" t="s">
        <v>152</v>
      </c>
    </row>
    <row x14ac:dyDescent="0.25" r="14" customHeight="1" ht="18">
      <c r="A14" s="179"/>
      <c r="B14" s="194"/>
      <c r="C14" s="183"/>
      <c r="D14" s="182"/>
      <c r="E14" s="183"/>
      <c r="F14" s="183"/>
      <c r="G14" s="184"/>
      <c r="H14" s="184"/>
      <c r="I14" s="184"/>
      <c r="J14" s="184"/>
      <c r="K14" s="183"/>
      <c r="L14" s="183"/>
      <c r="M14" s="183"/>
      <c r="N14" s="183"/>
      <c r="O14" s="183"/>
      <c r="P14" s="185"/>
      <c r="Q14" s="185"/>
      <c r="R14" s="185"/>
      <c r="S14" s="185"/>
      <c r="T14" s="186"/>
    </row>
    <row x14ac:dyDescent="0.25" r="15" customHeight="1" ht="18">
      <c r="A15" s="107">
        <v>10</v>
      </c>
      <c r="B15" s="189">
        <v>45305</v>
      </c>
      <c r="C15" s="15" t="s">
        <v>153</v>
      </c>
      <c r="D15" s="14"/>
      <c r="E15" s="12">
        <v>8500</v>
      </c>
      <c r="F15" s="12">
        <v>8500</v>
      </c>
      <c r="G15" s="112"/>
      <c r="H15" s="112"/>
      <c r="I15" s="112"/>
      <c r="J15" s="112"/>
      <c r="K15" s="111"/>
      <c r="L15" s="111"/>
      <c r="M15" s="111"/>
      <c r="N15" s="111"/>
      <c r="O15" s="111"/>
      <c r="P15" s="113"/>
      <c r="Q15" s="113"/>
      <c r="R15" s="113"/>
      <c r="S15" s="113"/>
      <c r="T15" s="106" t="s">
        <v>154</v>
      </c>
    </row>
    <row x14ac:dyDescent="0.25" r="16" customHeight="1" ht="18">
      <c r="A16" s="107">
        <v>11</v>
      </c>
      <c r="B16" s="189">
        <v>45336</v>
      </c>
      <c r="C16" s="15" t="s">
        <v>155</v>
      </c>
      <c r="D16" s="14"/>
      <c r="E16" s="12">
        <v>8500</v>
      </c>
      <c r="F16" s="12">
        <v>8500</v>
      </c>
      <c r="G16" s="112"/>
      <c r="H16" s="112"/>
      <c r="I16" s="112"/>
      <c r="J16" s="112"/>
      <c r="K16" s="111"/>
      <c r="L16" s="111"/>
      <c r="M16" s="111"/>
      <c r="N16" s="111"/>
      <c r="O16" s="111"/>
      <c r="P16" s="113"/>
      <c r="Q16" s="113"/>
      <c r="R16" s="113"/>
      <c r="S16" s="113"/>
      <c r="T16" s="106" t="s">
        <v>150</v>
      </c>
    </row>
    <row x14ac:dyDescent="0.25" r="17" customHeight="1" ht="18">
      <c r="A17" s="107">
        <v>12</v>
      </c>
      <c r="B17" s="189">
        <v>45365</v>
      </c>
      <c r="C17" s="15" t="s">
        <v>156</v>
      </c>
      <c r="D17" s="14"/>
      <c r="E17" s="12">
        <v>8500</v>
      </c>
      <c r="F17" s="12">
        <v>8500</v>
      </c>
      <c r="G17" s="112"/>
      <c r="H17" s="112"/>
      <c r="I17" s="112"/>
      <c r="J17" s="112"/>
      <c r="K17" s="111"/>
      <c r="L17" s="111"/>
      <c r="M17" s="111"/>
      <c r="N17" s="111"/>
      <c r="O17" s="111"/>
      <c r="P17" s="113"/>
      <c r="Q17" s="113"/>
      <c r="R17" s="113"/>
      <c r="S17" s="113"/>
      <c r="T17" s="106"/>
    </row>
    <row x14ac:dyDescent="0.25" r="18" customHeight="1" ht="18">
      <c r="A18" s="179"/>
      <c r="B18" s="194"/>
      <c r="C18" s="183"/>
      <c r="D18" s="182"/>
      <c r="E18" s="183"/>
      <c r="F18" s="183"/>
      <c r="G18" s="184"/>
      <c r="H18" s="184"/>
      <c r="I18" s="184"/>
      <c r="J18" s="184"/>
      <c r="K18" s="183"/>
      <c r="L18" s="183"/>
      <c r="M18" s="183"/>
      <c r="N18" s="183"/>
      <c r="O18" s="183"/>
      <c r="P18" s="185"/>
      <c r="Q18" s="185"/>
      <c r="R18" s="185"/>
      <c r="S18" s="185"/>
      <c r="T18" s="186"/>
    </row>
    <row x14ac:dyDescent="0.25" r="19" customHeight="1" ht="18">
      <c r="A19" s="107">
        <v>13</v>
      </c>
      <c r="B19" s="189">
        <v>45306</v>
      </c>
      <c r="C19" s="141" t="s">
        <v>157</v>
      </c>
      <c r="D19" s="106"/>
      <c r="E19" s="12">
        <v>8300</v>
      </c>
      <c r="F19" s="12">
        <v>8500</v>
      </c>
      <c r="G19" s="112"/>
      <c r="H19" s="112"/>
      <c r="I19" s="112"/>
      <c r="J19" s="112"/>
      <c r="K19" s="111"/>
      <c r="L19" s="111"/>
      <c r="M19" s="111"/>
      <c r="N19" s="111"/>
      <c r="O19" s="111"/>
      <c r="P19" s="113"/>
      <c r="Q19" s="113"/>
      <c r="R19" s="113"/>
      <c r="S19" s="113"/>
      <c r="T19" s="106"/>
    </row>
    <row x14ac:dyDescent="0.25" r="20" customHeight="1" ht="18">
      <c r="A20" s="107">
        <v>14</v>
      </c>
      <c r="B20" s="189">
        <v>45337</v>
      </c>
      <c r="C20" s="15" t="s">
        <v>158</v>
      </c>
      <c r="D20" s="14"/>
      <c r="E20" s="12">
        <v>8500</v>
      </c>
      <c r="F20" s="12">
        <v>8500</v>
      </c>
      <c r="G20" s="112"/>
      <c r="H20" s="112"/>
      <c r="I20" s="112"/>
      <c r="J20" s="112"/>
      <c r="K20" s="111"/>
      <c r="L20" s="111"/>
      <c r="M20" s="111"/>
      <c r="N20" s="111"/>
      <c r="O20" s="111"/>
      <c r="P20" s="113"/>
      <c r="Q20" s="113"/>
      <c r="R20" s="113"/>
      <c r="S20" s="113"/>
      <c r="T20" s="106"/>
    </row>
    <row x14ac:dyDescent="0.25" r="21" customHeight="1" ht="18">
      <c r="A21" s="122">
        <v>15</v>
      </c>
      <c r="B21" s="115" t="s">
        <v>159</v>
      </c>
      <c r="C21" s="15" t="s">
        <v>160</v>
      </c>
      <c r="D21" s="14"/>
      <c r="E21" s="114"/>
      <c r="F21" s="12">
        <v>8500</v>
      </c>
      <c r="G21" s="112"/>
      <c r="H21" s="112"/>
      <c r="I21" s="112"/>
      <c r="J21" s="112"/>
      <c r="K21" s="111"/>
      <c r="L21" s="111"/>
      <c r="M21" s="111"/>
      <c r="N21" s="111"/>
      <c r="O21" s="111"/>
      <c r="P21" s="113"/>
      <c r="Q21" s="113"/>
      <c r="R21" s="113"/>
      <c r="S21" s="113"/>
      <c r="T21" s="106"/>
    </row>
    <row x14ac:dyDescent="0.25" r="22" customHeight="1" ht="18">
      <c r="A22" s="177" t="s">
        <v>161</v>
      </c>
      <c r="B22" s="178">
        <v>11</v>
      </c>
      <c r="C22" s="105"/>
      <c r="D22" s="104"/>
      <c r="E22" s="105"/>
      <c r="F22" s="105"/>
      <c r="G22" s="104"/>
      <c r="H22" s="104"/>
      <c r="I22" s="104"/>
      <c r="J22" s="104"/>
      <c r="K22" s="105"/>
      <c r="L22" s="105"/>
      <c r="M22" s="105"/>
      <c r="N22" s="105"/>
      <c r="O22" s="105"/>
      <c r="P22" s="105"/>
      <c r="Q22" s="105"/>
      <c r="R22" s="105"/>
      <c r="S22" s="105"/>
      <c r="T22" s="106"/>
    </row>
    <row x14ac:dyDescent="0.25" r="23" customHeight="1" ht="18">
      <c r="A23" s="107">
        <v>16</v>
      </c>
      <c r="B23" s="189">
        <v>45312</v>
      </c>
      <c r="C23" s="15" t="s">
        <v>162</v>
      </c>
      <c r="D23" s="14"/>
      <c r="E23" s="12">
        <v>9000</v>
      </c>
      <c r="F23" s="12">
        <v>9000</v>
      </c>
      <c r="G23" s="112"/>
      <c r="H23" s="112"/>
      <c r="I23" s="112"/>
      <c r="J23" s="112"/>
      <c r="K23" s="111"/>
      <c r="L23" s="111"/>
      <c r="M23" s="111"/>
      <c r="N23" s="111"/>
      <c r="O23" s="111"/>
      <c r="P23" s="113"/>
      <c r="Q23" s="113"/>
      <c r="R23" s="113"/>
      <c r="S23" s="113"/>
      <c r="T23" s="106"/>
    </row>
    <row x14ac:dyDescent="0.25" r="24" customHeight="1" ht="18">
      <c r="A24" s="107">
        <v>17</v>
      </c>
      <c r="B24" s="189">
        <v>45343</v>
      </c>
      <c r="C24" s="15" t="s">
        <v>163</v>
      </c>
      <c r="D24" s="14"/>
      <c r="E24" s="12">
        <v>8500</v>
      </c>
      <c r="F24" s="12">
        <v>8700</v>
      </c>
      <c r="G24" s="112"/>
      <c r="H24" s="112"/>
      <c r="I24" s="112"/>
      <c r="J24" s="112"/>
      <c r="K24" s="111"/>
      <c r="L24" s="111"/>
      <c r="M24" s="111"/>
      <c r="N24" s="111"/>
      <c r="O24" s="111"/>
      <c r="P24" s="113"/>
      <c r="Q24" s="113"/>
      <c r="R24" s="113"/>
      <c r="S24" s="113"/>
      <c r="T24" s="106"/>
    </row>
    <row x14ac:dyDescent="0.25" r="25" customHeight="1" ht="18">
      <c r="A25" s="179"/>
      <c r="B25" s="194"/>
      <c r="C25" s="183"/>
      <c r="D25" s="182"/>
      <c r="E25" s="183"/>
      <c r="F25" s="183"/>
      <c r="G25" s="184"/>
      <c r="H25" s="184"/>
      <c r="I25" s="184"/>
      <c r="J25" s="184"/>
      <c r="K25" s="183"/>
      <c r="L25" s="183"/>
      <c r="M25" s="195"/>
      <c r="N25" s="195"/>
      <c r="O25" s="195"/>
      <c r="P25" s="185"/>
      <c r="Q25" s="185"/>
      <c r="R25" s="185"/>
      <c r="S25" s="185"/>
      <c r="T25" s="186"/>
    </row>
    <row x14ac:dyDescent="0.25" r="26" customHeight="1" ht="18">
      <c r="A26" s="122">
        <v>18</v>
      </c>
      <c r="B26" s="196">
        <v>45313</v>
      </c>
      <c r="C26" s="15" t="s">
        <v>164</v>
      </c>
      <c r="D26" s="14"/>
      <c r="E26" s="12">
        <v>750</v>
      </c>
      <c r="F26" s="12">
        <v>7600</v>
      </c>
      <c r="G26" s="127"/>
      <c r="H26" s="127"/>
      <c r="I26" s="127"/>
      <c r="J26" s="138"/>
      <c r="K26" s="197"/>
      <c r="L26" s="197"/>
      <c r="M26" s="198"/>
      <c r="N26" s="198"/>
      <c r="O26" s="198"/>
      <c r="P26" s="197"/>
      <c r="Q26" s="197"/>
      <c r="R26" s="197"/>
      <c r="S26" s="126"/>
      <c r="T26" s="138" t="s">
        <v>165</v>
      </c>
    </row>
    <row x14ac:dyDescent="0.25" r="27" customHeight="1" ht="18">
      <c r="A27" s="122">
        <v>19</v>
      </c>
      <c r="B27" s="196">
        <v>45313</v>
      </c>
      <c r="C27" s="15" t="s">
        <v>166</v>
      </c>
      <c r="D27" s="14"/>
      <c r="E27" s="49">
        <v>8500</v>
      </c>
      <c r="F27" s="12">
        <v>8500</v>
      </c>
      <c r="G27" s="112"/>
      <c r="H27" s="112"/>
      <c r="I27" s="112"/>
      <c r="J27" s="112"/>
      <c r="K27" s="111"/>
      <c r="L27" s="199"/>
      <c r="M27" s="15"/>
      <c r="N27" s="15"/>
      <c r="O27" s="15"/>
      <c r="P27" s="113"/>
      <c r="Q27" s="113"/>
      <c r="R27" s="113"/>
      <c r="S27" s="113"/>
      <c r="T27" s="106" t="s">
        <v>150</v>
      </c>
    </row>
    <row x14ac:dyDescent="0.25" r="28" customHeight="1" ht="18">
      <c r="A28" s="122">
        <v>20</v>
      </c>
      <c r="B28" s="196">
        <v>45344</v>
      </c>
      <c r="C28" s="15" t="s">
        <v>167</v>
      </c>
      <c r="D28" s="94"/>
      <c r="E28" s="114"/>
      <c r="F28" s="90">
        <v>8500</v>
      </c>
      <c r="G28" s="112"/>
      <c r="H28" s="112"/>
      <c r="I28" s="112"/>
      <c r="J28" s="112"/>
      <c r="K28" s="111"/>
      <c r="L28" s="111"/>
      <c r="M28" s="111"/>
      <c r="N28" s="111"/>
      <c r="O28" s="111"/>
      <c r="P28" s="113"/>
      <c r="Q28" s="113"/>
      <c r="R28" s="113"/>
      <c r="S28" s="113"/>
      <c r="T28" s="106" t="s">
        <v>150</v>
      </c>
    </row>
    <row x14ac:dyDescent="0.25" r="29" customHeight="1" ht="18">
      <c r="A29" s="179"/>
      <c r="B29" s="194"/>
      <c r="C29" s="183"/>
      <c r="D29" s="182"/>
      <c r="E29" s="183"/>
      <c r="F29" s="183"/>
      <c r="G29" s="184"/>
      <c r="H29" s="184"/>
      <c r="I29" s="184"/>
      <c r="J29" s="184"/>
      <c r="K29" s="183"/>
      <c r="L29" s="183"/>
      <c r="M29" s="183"/>
      <c r="N29" s="183"/>
      <c r="O29" s="183"/>
      <c r="P29" s="185"/>
      <c r="Q29" s="185"/>
      <c r="R29" s="185"/>
      <c r="S29" s="185"/>
      <c r="T29" s="186"/>
    </row>
    <row x14ac:dyDescent="0.25" r="30" customHeight="1" ht="18">
      <c r="A30" s="122">
        <v>21</v>
      </c>
      <c r="B30" s="196">
        <v>45314</v>
      </c>
      <c r="C30" s="15" t="s">
        <v>168</v>
      </c>
      <c r="D30" s="14"/>
      <c r="E30" s="114"/>
      <c r="F30" s="12">
        <v>8000</v>
      </c>
      <c r="G30" s="140"/>
      <c r="H30" s="140"/>
      <c r="I30" s="140"/>
      <c r="J30" s="112"/>
      <c r="K30" s="111"/>
      <c r="L30" s="111"/>
      <c r="M30" s="111"/>
      <c r="N30" s="111"/>
      <c r="O30" s="111"/>
      <c r="P30" s="113"/>
      <c r="Q30" s="113"/>
      <c r="R30" s="113"/>
      <c r="S30" s="113"/>
      <c r="T30" s="106"/>
    </row>
    <row x14ac:dyDescent="0.25" r="31" customHeight="1" ht="18">
      <c r="A31" s="107">
        <v>22</v>
      </c>
      <c r="B31" s="200">
        <v>45345</v>
      </c>
      <c r="C31" s="15" t="s">
        <v>169</v>
      </c>
      <c r="D31" s="14"/>
      <c r="E31" s="12">
        <v>8000</v>
      </c>
      <c r="F31" s="12">
        <v>8000</v>
      </c>
      <c r="G31" s="112"/>
      <c r="H31" s="112"/>
      <c r="I31" s="112"/>
      <c r="J31" s="112"/>
      <c r="K31" s="111"/>
      <c r="L31" s="111"/>
      <c r="M31" s="111"/>
      <c r="N31" s="111"/>
      <c r="O31" s="111"/>
      <c r="P31" s="113"/>
      <c r="Q31" s="113"/>
      <c r="R31" s="113"/>
      <c r="S31" s="113"/>
      <c r="T31" s="106"/>
    </row>
    <row x14ac:dyDescent="0.25" r="32" customHeight="1" ht="18">
      <c r="A32" s="107">
        <v>23</v>
      </c>
      <c r="B32" s="189">
        <v>45374</v>
      </c>
      <c r="C32" s="15" t="s">
        <v>170</v>
      </c>
      <c r="D32" s="14"/>
      <c r="E32" s="114"/>
      <c r="F32" s="12">
        <v>8000</v>
      </c>
      <c r="G32" s="112"/>
      <c r="H32" s="112"/>
      <c r="I32" s="112"/>
      <c r="J32" s="112"/>
      <c r="K32" s="141"/>
      <c r="L32" s="111"/>
      <c r="M32" s="111"/>
      <c r="N32" s="111"/>
      <c r="O32" s="111"/>
      <c r="P32" s="113"/>
      <c r="Q32" s="113"/>
      <c r="R32" s="113"/>
      <c r="S32" s="113"/>
      <c r="T32" s="106"/>
    </row>
    <row x14ac:dyDescent="0.25" r="33" customHeight="1" ht="18">
      <c r="A33" s="107">
        <v>24</v>
      </c>
      <c r="B33" s="189">
        <v>45405</v>
      </c>
      <c r="C33" s="15" t="s">
        <v>171</v>
      </c>
      <c r="D33" s="14"/>
      <c r="E33" s="114"/>
      <c r="F33" s="12">
        <v>8000</v>
      </c>
      <c r="G33" s="112"/>
      <c r="H33" s="112"/>
      <c r="I33" s="112"/>
      <c r="J33" s="112"/>
      <c r="K33" s="135"/>
      <c r="L33" s="111"/>
      <c r="M33" s="111"/>
      <c r="N33" s="111"/>
      <c r="O33" s="111"/>
      <c r="P33" s="113"/>
      <c r="Q33" s="113"/>
      <c r="R33" s="113"/>
      <c r="S33" s="113"/>
      <c r="T33" s="106"/>
    </row>
    <row x14ac:dyDescent="0.25" r="34" customHeight="1" ht="18">
      <c r="A34" s="179"/>
      <c r="B34" s="194"/>
      <c r="C34" s="183"/>
      <c r="D34" s="182"/>
      <c r="E34" s="183"/>
      <c r="F34" s="183"/>
      <c r="G34" s="184"/>
      <c r="H34" s="184"/>
      <c r="I34" s="184"/>
      <c r="J34" s="184"/>
      <c r="K34" s="183"/>
      <c r="L34" s="183"/>
      <c r="M34" s="183"/>
      <c r="N34" s="183"/>
      <c r="O34" s="183"/>
      <c r="P34" s="185"/>
      <c r="Q34" s="185"/>
      <c r="R34" s="185"/>
      <c r="S34" s="185"/>
      <c r="T34" s="186"/>
    </row>
    <row x14ac:dyDescent="0.25" r="35" customHeight="1" ht="18">
      <c r="A35" s="122">
        <v>25</v>
      </c>
      <c r="B35" s="196">
        <v>45315</v>
      </c>
      <c r="C35" s="15" t="s">
        <v>172</v>
      </c>
      <c r="D35" s="14"/>
      <c r="E35" s="114"/>
      <c r="F35" s="12">
        <v>8800</v>
      </c>
      <c r="G35" s="112"/>
      <c r="H35" s="112"/>
      <c r="I35" s="112"/>
      <c r="J35" s="112"/>
      <c r="K35" s="111"/>
      <c r="L35" s="111"/>
      <c r="M35" s="111"/>
      <c r="N35" s="111"/>
      <c r="O35" s="111"/>
      <c r="P35" s="113"/>
      <c r="Q35" s="113"/>
      <c r="R35" s="113"/>
      <c r="S35" s="113"/>
      <c r="T35" s="106"/>
    </row>
    <row x14ac:dyDescent="0.25" r="36" customHeight="1" ht="18">
      <c r="A36" s="107">
        <v>26</v>
      </c>
      <c r="B36" s="189">
        <v>45346</v>
      </c>
      <c r="C36" s="15" t="s">
        <v>173</v>
      </c>
      <c r="D36" s="14"/>
      <c r="E36" s="12">
        <v>8300</v>
      </c>
      <c r="F36" s="12">
        <v>8300</v>
      </c>
      <c r="G36" s="112"/>
      <c r="H36" s="112"/>
      <c r="I36" s="112"/>
      <c r="J36" s="112"/>
      <c r="K36" s="111"/>
      <c r="L36" s="111"/>
      <c r="M36" s="111"/>
      <c r="N36" s="111"/>
      <c r="O36" s="111"/>
      <c r="P36" s="113"/>
      <c r="Q36" s="113"/>
      <c r="R36" s="113"/>
      <c r="S36" s="113"/>
      <c r="T36" s="106" t="s">
        <v>150</v>
      </c>
    </row>
    <row x14ac:dyDescent="0.25" r="37" customHeight="1" ht="18">
      <c r="A37" s="107">
        <v>27</v>
      </c>
      <c r="B37" s="192">
        <v>45375</v>
      </c>
      <c r="C37" s="15" t="s">
        <v>174</v>
      </c>
      <c r="D37" s="94"/>
      <c r="E37" s="12">
        <v>8600</v>
      </c>
      <c r="F37" s="12">
        <v>8600</v>
      </c>
      <c r="G37" s="112"/>
      <c r="H37" s="112"/>
      <c r="I37" s="112"/>
      <c r="J37" s="112"/>
      <c r="K37" s="111"/>
      <c r="L37" s="111"/>
      <c r="M37" s="111"/>
      <c r="N37" s="111"/>
      <c r="O37" s="111"/>
      <c r="P37" s="113"/>
      <c r="Q37" s="113"/>
      <c r="R37" s="113"/>
      <c r="S37" s="113"/>
      <c r="T37" s="106"/>
    </row>
    <row x14ac:dyDescent="0.25" r="38" customHeight="1" ht="18">
      <c r="A38" s="179"/>
      <c r="B38" s="201"/>
      <c r="C38" s="202"/>
      <c r="D38" s="203"/>
      <c r="E38" s="204"/>
      <c r="F38" s="204"/>
      <c r="G38" s="184"/>
      <c r="H38" s="184"/>
      <c r="I38" s="184"/>
      <c r="J38" s="184"/>
      <c r="K38" s="183"/>
      <c r="L38" s="183"/>
      <c r="M38" s="183"/>
      <c r="N38" s="183"/>
      <c r="O38" s="183"/>
      <c r="P38" s="185"/>
      <c r="Q38" s="185"/>
      <c r="R38" s="185"/>
      <c r="S38" s="185"/>
      <c r="T38" s="186"/>
    </row>
    <row x14ac:dyDescent="0.25" r="39" customHeight="1" ht="18">
      <c r="A39" s="107">
        <v>28</v>
      </c>
      <c r="B39" s="192">
        <v>45316</v>
      </c>
      <c r="C39" s="15" t="s">
        <v>175</v>
      </c>
      <c r="D39" s="14"/>
      <c r="E39" s="12">
        <v>8600</v>
      </c>
      <c r="F39" s="12">
        <v>8600</v>
      </c>
      <c r="G39" s="112"/>
      <c r="H39" s="112"/>
      <c r="I39" s="112"/>
      <c r="J39" s="112"/>
      <c r="K39" s="111"/>
      <c r="L39" s="111"/>
      <c r="M39" s="111"/>
      <c r="N39" s="111"/>
      <c r="O39" s="111"/>
      <c r="P39" s="113"/>
      <c r="Q39" s="113"/>
      <c r="R39" s="113"/>
      <c r="S39" s="113"/>
      <c r="T39" s="106"/>
    </row>
    <row x14ac:dyDescent="0.25" r="40" customHeight="1" ht="18">
      <c r="A40" s="122">
        <v>29</v>
      </c>
      <c r="B40" s="205">
        <v>45347</v>
      </c>
      <c r="C40" s="15" t="s">
        <v>176</v>
      </c>
      <c r="D40" s="14"/>
      <c r="E40" s="114"/>
      <c r="F40" s="12">
        <v>8600</v>
      </c>
      <c r="G40" s="127"/>
      <c r="H40" s="127"/>
      <c r="I40" s="127"/>
      <c r="J40" s="127"/>
      <c r="K40" s="197"/>
      <c r="L40" s="197"/>
      <c r="M40" s="128"/>
      <c r="N40" s="128"/>
      <c r="O40" s="128"/>
      <c r="P40" s="197"/>
      <c r="Q40" s="197"/>
      <c r="R40" s="197"/>
      <c r="S40" s="126"/>
      <c r="T40" s="138"/>
    </row>
    <row x14ac:dyDescent="0.25" r="41" customHeight="1" ht="18">
      <c r="A41" s="122">
        <v>30</v>
      </c>
      <c r="B41" s="205">
        <v>45376</v>
      </c>
      <c r="C41" s="15" t="s">
        <v>177</v>
      </c>
      <c r="D41" s="14"/>
      <c r="E41" s="114"/>
      <c r="F41" s="12">
        <v>8600</v>
      </c>
      <c r="G41" s="127"/>
      <c r="H41" s="127"/>
      <c r="I41" s="127"/>
      <c r="J41" s="127"/>
      <c r="K41" s="197"/>
      <c r="L41" s="197"/>
      <c r="M41" s="128"/>
      <c r="N41" s="128"/>
      <c r="O41" s="128"/>
      <c r="P41" s="197"/>
      <c r="Q41" s="197"/>
      <c r="R41" s="197"/>
      <c r="S41" s="126"/>
      <c r="T41" s="138"/>
    </row>
    <row x14ac:dyDescent="0.25" r="42" customHeight="1" ht="18">
      <c r="A42" s="177" t="s">
        <v>178</v>
      </c>
      <c r="B42" s="206">
        <v>14</v>
      </c>
      <c r="C42" s="178"/>
      <c r="D42" s="207"/>
      <c r="E42" s="105"/>
      <c r="F42" s="105"/>
      <c r="G42" s="104"/>
      <c r="H42" s="104"/>
      <c r="I42" s="104"/>
      <c r="J42" s="104"/>
      <c r="K42" s="105"/>
      <c r="L42" s="105"/>
      <c r="M42" s="105"/>
      <c r="N42" s="105"/>
      <c r="O42" s="105"/>
      <c r="P42" s="105"/>
      <c r="Q42" s="105"/>
      <c r="R42" s="105"/>
      <c r="S42" s="105"/>
      <c r="T42" s="138"/>
    </row>
    <row x14ac:dyDescent="0.25" r="43" customHeight="1" ht="18">
      <c r="A43" s="107">
        <v>31</v>
      </c>
      <c r="B43" s="192">
        <v>45322</v>
      </c>
      <c r="C43" s="15" t="s">
        <v>179</v>
      </c>
      <c r="D43" s="14"/>
      <c r="E43" s="12">
        <v>9000</v>
      </c>
      <c r="F43" s="12">
        <v>9000</v>
      </c>
      <c r="G43" s="112"/>
      <c r="H43" s="112"/>
      <c r="I43" s="112"/>
      <c r="J43" s="112"/>
      <c r="K43" s="111"/>
      <c r="L43" s="111"/>
      <c r="M43" s="111"/>
      <c r="N43" s="111"/>
      <c r="O43" s="111"/>
      <c r="P43" s="113"/>
      <c r="Q43" s="113"/>
      <c r="R43" s="113"/>
      <c r="S43" s="113"/>
      <c r="T43" s="106"/>
    </row>
    <row x14ac:dyDescent="0.25" r="44" customHeight="1" ht="18">
      <c r="A44" s="107">
        <v>31</v>
      </c>
      <c r="B44" s="208" t="s">
        <v>180</v>
      </c>
      <c r="C44" s="15" t="s">
        <v>181</v>
      </c>
      <c r="D44" s="14"/>
      <c r="E44" s="12">
        <v>9000</v>
      </c>
      <c r="F44" s="191">
        <v>9000</v>
      </c>
      <c r="G44" s="131"/>
      <c r="H44" s="112"/>
      <c r="I44" s="112"/>
      <c r="J44" s="112"/>
      <c r="K44" s="111"/>
      <c r="L44" s="128"/>
      <c r="M44" s="128"/>
      <c r="N44" s="128"/>
      <c r="O44" s="128"/>
      <c r="P44" s="113"/>
      <c r="Q44" s="113"/>
      <c r="R44" s="113"/>
      <c r="S44" s="113"/>
      <c r="T44" s="106"/>
    </row>
    <row x14ac:dyDescent="0.25" r="45" customHeight="1" ht="18">
      <c r="A45" s="179"/>
      <c r="B45" s="194"/>
      <c r="C45" s="183"/>
      <c r="D45" s="182"/>
      <c r="E45" s="183"/>
      <c r="F45" s="183"/>
      <c r="G45" s="184"/>
      <c r="H45" s="184"/>
      <c r="I45" s="184"/>
      <c r="J45" s="184"/>
      <c r="K45" s="183"/>
      <c r="L45" s="183"/>
      <c r="M45" s="183"/>
      <c r="N45" s="183"/>
      <c r="O45" s="183"/>
      <c r="P45" s="185"/>
      <c r="Q45" s="185"/>
      <c r="R45" s="185"/>
      <c r="S45" s="185"/>
      <c r="T45" s="186"/>
    </row>
    <row x14ac:dyDescent="0.25" r="46" customHeight="1" ht="18">
      <c r="A46" s="107">
        <v>33</v>
      </c>
      <c r="B46" s="139" t="s">
        <v>182</v>
      </c>
      <c r="C46" s="15" t="s">
        <v>183</v>
      </c>
      <c r="D46" s="14"/>
      <c r="E46" s="12">
        <v>9000</v>
      </c>
      <c r="F46" s="12">
        <v>9000</v>
      </c>
      <c r="G46" s="112"/>
      <c r="H46" s="112"/>
      <c r="I46" s="112"/>
      <c r="J46" s="112"/>
      <c r="K46" s="111"/>
      <c r="L46" s="111"/>
      <c r="M46" s="111"/>
      <c r="N46" s="111"/>
      <c r="O46" s="111"/>
      <c r="P46" s="113"/>
      <c r="Q46" s="113"/>
      <c r="R46" s="113"/>
      <c r="S46" s="113"/>
      <c r="T46" s="106"/>
    </row>
    <row x14ac:dyDescent="0.25" r="47" customHeight="1" ht="18">
      <c r="A47" s="107">
        <v>34</v>
      </c>
      <c r="B47" s="139" t="s">
        <v>184</v>
      </c>
      <c r="C47" s="15" t="s">
        <v>185</v>
      </c>
      <c r="D47" s="14"/>
      <c r="E47" s="12">
        <v>9000</v>
      </c>
      <c r="F47" s="12">
        <v>9000</v>
      </c>
      <c r="G47" s="112"/>
      <c r="H47" s="112"/>
      <c r="I47" s="112"/>
      <c r="J47" s="112"/>
      <c r="K47" s="111"/>
      <c r="L47" s="111"/>
      <c r="M47" s="111"/>
      <c r="N47" s="111"/>
      <c r="O47" s="111"/>
      <c r="P47" s="113"/>
      <c r="Q47" s="113"/>
      <c r="R47" s="113"/>
      <c r="S47" s="113"/>
      <c r="T47" s="106"/>
    </row>
    <row x14ac:dyDescent="0.25" r="48" customHeight="1" ht="18">
      <c r="A48" s="107">
        <v>35</v>
      </c>
      <c r="B48" s="139" t="s">
        <v>186</v>
      </c>
      <c r="C48" s="15" t="s">
        <v>187</v>
      </c>
      <c r="D48" s="14"/>
      <c r="E48" s="12">
        <v>8500</v>
      </c>
      <c r="F48" s="12">
        <v>8500</v>
      </c>
      <c r="G48" s="112"/>
      <c r="H48" s="112"/>
      <c r="I48" s="112"/>
      <c r="J48" s="112"/>
      <c r="K48" s="111"/>
      <c r="L48" s="111"/>
      <c r="M48" s="111"/>
      <c r="N48" s="111"/>
      <c r="O48" s="111"/>
      <c r="P48" s="113"/>
      <c r="Q48" s="113"/>
      <c r="R48" s="113"/>
      <c r="S48" s="113"/>
      <c r="T48" s="106"/>
    </row>
    <row x14ac:dyDescent="0.25" r="49" customHeight="1" ht="18">
      <c r="A49" s="179"/>
      <c r="B49" s="180"/>
      <c r="C49" s="183"/>
      <c r="D49" s="182"/>
      <c r="E49" s="183"/>
      <c r="F49" s="183"/>
      <c r="G49" s="184"/>
      <c r="H49" s="184"/>
      <c r="I49" s="184"/>
      <c r="J49" s="184"/>
      <c r="K49" s="183"/>
      <c r="L49" s="183"/>
      <c r="M49" s="183"/>
      <c r="N49" s="183"/>
      <c r="O49" s="183"/>
      <c r="P49" s="185"/>
      <c r="Q49" s="185"/>
      <c r="R49" s="185"/>
      <c r="S49" s="185"/>
      <c r="T49" s="186"/>
    </row>
    <row x14ac:dyDescent="0.25" r="50" customHeight="1" ht="18">
      <c r="A50" s="107">
        <v>35</v>
      </c>
      <c r="B50" s="139" t="s">
        <v>188</v>
      </c>
      <c r="C50" s="15" t="s">
        <v>189</v>
      </c>
      <c r="D50" s="14"/>
      <c r="E50" s="114"/>
      <c r="F50" s="12">
        <v>8000</v>
      </c>
      <c r="G50" s="112"/>
      <c r="H50" s="112"/>
      <c r="I50" s="112"/>
      <c r="J50" s="112"/>
      <c r="K50" s="111"/>
      <c r="L50" s="111"/>
      <c r="M50" s="111"/>
      <c r="N50" s="111"/>
      <c r="O50" s="111"/>
      <c r="P50" s="113"/>
      <c r="Q50" s="113"/>
      <c r="R50" s="113"/>
      <c r="S50" s="113"/>
      <c r="T50" s="106"/>
    </row>
    <row x14ac:dyDescent="0.25" r="51" customHeight="1" ht="18">
      <c r="A51" s="107">
        <v>37</v>
      </c>
      <c r="B51" s="139" t="s">
        <v>190</v>
      </c>
      <c r="C51" s="15" t="s">
        <v>99</v>
      </c>
      <c r="D51" s="14"/>
      <c r="E51" s="114"/>
      <c r="F51" s="12">
        <v>8000</v>
      </c>
      <c r="G51" s="112"/>
      <c r="H51" s="112"/>
      <c r="I51" s="112"/>
      <c r="J51" s="112"/>
      <c r="K51" s="111"/>
      <c r="L51" s="111"/>
      <c r="M51" s="111"/>
      <c r="N51" s="111"/>
      <c r="O51" s="111"/>
      <c r="P51" s="113"/>
      <c r="Q51" s="113"/>
      <c r="R51" s="113"/>
      <c r="S51" s="113"/>
      <c r="T51" s="106"/>
    </row>
    <row x14ac:dyDescent="0.25" r="52" customHeight="1" ht="18">
      <c r="A52" s="107">
        <v>38</v>
      </c>
      <c r="B52" s="139" t="s">
        <v>191</v>
      </c>
      <c r="C52" s="15" t="s">
        <v>192</v>
      </c>
      <c r="D52" s="14"/>
      <c r="E52" s="12">
        <v>8000</v>
      </c>
      <c r="F52" s="12">
        <v>8000</v>
      </c>
      <c r="G52" s="112"/>
      <c r="H52" s="112"/>
      <c r="I52" s="112"/>
      <c r="J52" s="112"/>
      <c r="K52" s="111"/>
      <c r="L52" s="111"/>
      <c r="M52" s="111"/>
      <c r="N52" s="111"/>
      <c r="O52" s="111"/>
      <c r="P52" s="113"/>
      <c r="Q52" s="113"/>
      <c r="R52" s="113"/>
      <c r="S52" s="113"/>
      <c r="T52" s="106"/>
    </row>
    <row x14ac:dyDescent="0.25" r="53" customHeight="1" ht="18">
      <c r="A53" s="122">
        <v>39</v>
      </c>
      <c r="B53" s="115" t="s">
        <v>193</v>
      </c>
      <c r="C53" s="15" t="s">
        <v>194</v>
      </c>
      <c r="D53" s="14"/>
      <c r="E53" s="12"/>
      <c r="F53" s="12">
        <v>8000</v>
      </c>
      <c r="G53" s="127"/>
      <c r="H53" s="127"/>
      <c r="I53" s="127"/>
      <c r="J53" s="127"/>
      <c r="K53" s="128"/>
      <c r="L53" s="111"/>
      <c r="M53" s="111"/>
      <c r="N53" s="111"/>
      <c r="O53" s="111"/>
      <c r="P53" s="113"/>
      <c r="Q53" s="113"/>
      <c r="R53" s="113"/>
      <c r="S53" s="113"/>
      <c r="T53" s="106"/>
    </row>
    <row x14ac:dyDescent="0.25" r="54" customHeight="1" ht="18">
      <c r="A54" s="179"/>
      <c r="B54" s="180"/>
      <c r="C54" s="183"/>
      <c r="D54" s="182"/>
      <c r="E54" s="183"/>
      <c r="F54" s="183"/>
      <c r="G54" s="184"/>
      <c r="H54" s="184"/>
      <c r="I54" s="184"/>
      <c r="J54" s="184"/>
      <c r="K54" s="183"/>
      <c r="L54" s="183"/>
      <c r="M54" s="183"/>
      <c r="N54" s="183"/>
      <c r="O54" s="183"/>
      <c r="P54" s="185"/>
      <c r="Q54" s="185"/>
      <c r="R54" s="185"/>
      <c r="S54" s="185"/>
      <c r="T54" s="186"/>
    </row>
    <row x14ac:dyDescent="0.25" r="55" customHeight="1" ht="18">
      <c r="A55" s="107">
        <v>40</v>
      </c>
      <c r="B55" s="139" t="s">
        <v>195</v>
      </c>
      <c r="C55" s="15" t="s">
        <v>196</v>
      </c>
      <c r="D55" s="14"/>
      <c r="E55" s="12">
        <v>8300</v>
      </c>
      <c r="F55" s="12">
        <v>8500</v>
      </c>
      <c r="G55" s="112"/>
      <c r="H55" s="112"/>
      <c r="I55" s="112"/>
      <c r="J55" s="112"/>
      <c r="K55" s="111"/>
      <c r="L55" s="111"/>
      <c r="M55" s="111"/>
      <c r="N55" s="111"/>
      <c r="O55" s="111"/>
      <c r="P55" s="113"/>
      <c r="Q55" s="113"/>
      <c r="R55" s="113"/>
      <c r="S55" s="113"/>
      <c r="T55" s="106"/>
    </row>
    <row x14ac:dyDescent="0.25" r="56" customHeight="1" ht="18">
      <c r="A56" s="107">
        <v>41</v>
      </c>
      <c r="B56" s="139" t="s">
        <v>197</v>
      </c>
      <c r="C56" s="15" t="s">
        <v>198</v>
      </c>
      <c r="D56" s="14"/>
      <c r="E56" s="12">
        <v>8500</v>
      </c>
      <c r="F56" s="12">
        <v>8500</v>
      </c>
      <c r="G56" s="112"/>
      <c r="H56" s="112"/>
      <c r="I56" s="112"/>
      <c r="J56" s="112"/>
      <c r="K56" s="111"/>
      <c r="L56" s="111"/>
      <c r="M56" s="111"/>
      <c r="N56" s="111"/>
      <c r="O56" s="111"/>
      <c r="P56" s="113"/>
      <c r="Q56" s="113"/>
      <c r="R56" s="113"/>
      <c r="S56" s="113"/>
      <c r="T56" s="106"/>
    </row>
    <row x14ac:dyDescent="0.25" r="57" customHeight="1" ht="18">
      <c r="A57" s="107">
        <v>42</v>
      </c>
      <c r="B57" s="115" t="s">
        <v>199</v>
      </c>
      <c r="C57" s="15" t="s">
        <v>200</v>
      </c>
      <c r="D57" s="14"/>
      <c r="E57" s="12">
        <v>8000</v>
      </c>
      <c r="F57" s="12">
        <v>8500</v>
      </c>
      <c r="G57" s="112"/>
      <c r="H57" s="112"/>
      <c r="I57" s="112"/>
      <c r="J57" s="112"/>
      <c r="K57" s="111"/>
      <c r="L57" s="111"/>
      <c r="M57" s="111"/>
      <c r="N57" s="111"/>
      <c r="O57" s="111"/>
      <c r="P57" s="113"/>
      <c r="Q57" s="113"/>
      <c r="R57" s="113"/>
      <c r="S57" s="113"/>
      <c r="T57" s="106"/>
    </row>
    <row x14ac:dyDescent="0.25" r="58" customHeight="1" ht="18">
      <c r="A58" s="179"/>
      <c r="B58" s="194"/>
      <c r="C58" s="183"/>
      <c r="D58" s="182"/>
      <c r="E58" s="183"/>
      <c r="F58" s="183"/>
      <c r="G58" s="184"/>
      <c r="H58" s="184"/>
      <c r="I58" s="184"/>
      <c r="J58" s="184"/>
      <c r="K58" s="183"/>
      <c r="L58" s="183"/>
      <c r="M58" s="183"/>
      <c r="N58" s="183"/>
      <c r="O58" s="183"/>
      <c r="P58" s="185"/>
      <c r="Q58" s="185"/>
      <c r="R58" s="185"/>
      <c r="S58" s="185"/>
      <c r="T58" s="186"/>
    </row>
    <row x14ac:dyDescent="0.25" r="59" customHeight="1" ht="18">
      <c r="A59" s="107">
        <v>43</v>
      </c>
      <c r="B59" s="108" t="s">
        <v>201</v>
      </c>
      <c r="C59" s="15" t="s">
        <v>202</v>
      </c>
      <c r="D59" s="14"/>
      <c r="E59" s="12">
        <v>8500</v>
      </c>
      <c r="F59" s="12">
        <v>8500</v>
      </c>
      <c r="G59" s="112"/>
      <c r="H59" s="112"/>
      <c r="I59" s="112"/>
      <c r="J59" s="112"/>
      <c r="K59" s="111"/>
      <c r="L59" s="111"/>
      <c r="M59" s="111"/>
      <c r="N59" s="111"/>
      <c r="O59" s="111"/>
      <c r="P59" s="113"/>
      <c r="Q59" s="113"/>
      <c r="R59" s="113"/>
      <c r="S59" s="113"/>
      <c r="T59" s="106"/>
    </row>
    <row x14ac:dyDescent="0.25" r="60" customHeight="1" ht="18">
      <c r="A60" s="107">
        <v>44</v>
      </c>
      <c r="B60" s="139" t="s">
        <v>203</v>
      </c>
      <c r="C60" s="15" t="s">
        <v>204</v>
      </c>
      <c r="D60" s="14"/>
      <c r="E60" s="12">
        <v>8500</v>
      </c>
      <c r="F60" s="12">
        <v>8500</v>
      </c>
      <c r="G60" s="112"/>
      <c r="H60" s="112"/>
      <c r="I60" s="112"/>
      <c r="J60" s="112"/>
      <c r="K60" s="111"/>
      <c r="L60" s="111"/>
      <c r="M60" s="111"/>
      <c r="N60" s="111"/>
      <c r="O60" s="111"/>
      <c r="P60" s="113"/>
      <c r="Q60" s="113"/>
      <c r="R60" s="113"/>
      <c r="S60" s="113"/>
      <c r="T60" s="106"/>
    </row>
    <row x14ac:dyDescent="0.25" r="61" customHeight="1" ht="18">
      <c r="A61" s="107">
        <v>45</v>
      </c>
      <c r="B61" s="139" t="s">
        <v>205</v>
      </c>
      <c r="C61" s="15" t="s">
        <v>206</v>
      </c>
      <c r="D61" s="14"/>
      <c r="E61" s="114"/>
      <c r="F61" s="12">
        <v>8700</v>
      </c>
      <c r="G61" s="112"/>
      <c r="H61" s="112"/>
      <c r="I61" s="112"/>
      <c r="J61" s="112"/>
      <c r="K61" s="111"/>
      <c r="L61" s="111"/>
      <c r="M61" s="111"/>
      <c r="N61" s="111"/>
      <c r="O61" s="111"/>
      <c r="P61" s="113"/>
      <c r="Q61" s="113"/>
      <c r="R61" s="113"/>
      <c r="S61" s="113"/>
      <c r="T61" s="106"/>
    </row>
    <row x14ac:dyDescent="0.25" r="62" customHeight="1" ht="18">
      <c r="A62" s="177" t="s">
        <v>207</v>
      </c>
      <c r="B62" s="178">
        <v>7</v>
      </c>
      <c r="C62" s="105"/>
      <c r="D62" s="104"/>
      <c r="E62" s="105"/>
      <c r="F62" s="105"/>
      <c r="G62" s="104"/>
      <c r="H62" s="104"/>
      <c r="I62" s="104"/>
      <c r="J62" s="104"/>
      <c r="K62" s="105"/>
      <c r="L62" s="105"/>
      <c r="M62" s="105"/>
      <c r="N62" s="105"/>
      <c r="O62" s="105"/>
      <c r="P62" s="105"/>
      <c r="Q62" s="105"/>
      <c r="R62" s="105"/>
      <c r="S62" s="105"/>
      <c r="T62" s="106"/>
    </row>
    <row x14ac:dyDescent="0.25" r="63" customHeight="1" ht="18">
      <c r="A63" s="107">
        <v>46</v>
      </c>
      <c r="B63" s="139" t="s">
        <v>208</v>
      </c>
      <c r="C63" s="15" t="s">
        <v>209</v>
      </c>
      <c r="D63" s="14"/>
      <c r="E63" s="12">
        <v>11500</v>
      </c>
      <c r="F63" s="12">
        <v>11500</v>
      </c>
      <c r="G63" s="112"/>
      <c r="H63" s="112"/>
      <c r="I63" s="112"/>
      <c r="J63" s="112"/>
      <c r="K63" s="111"/>
      <c r="L63" s="111"/>
      <c r="M63" s="111"/>
      <c r="N63" s="111"/>
      <c r="O63" s="111"/>
      <c r="P63" s="113"/>
      <c r="Q63" s="113"/>
      <c r="R63" s="113"/>
      <c r="S63" s="113"/>
      <c r="T63" s="106"/>
    </row>
    <row x14ac:dyDescent="0.25" r="64" customHeight="1" ht="18">
      <c r="A64" s="122">
        <v>47</v>
      </c>
      <c r="B64" s="115" t="s">
        <v>210</v>
      </c>
      <c r="C64" s="15" t="s">
        <v>211</v>
      </c>
      <c r="D64" s="14"/>
      <c r="E64" s="114"/>
      <c r="F64" s="12">
        <v>10750</v>
      </c>
      <c r="G64" s="112"/>
      <c r="H64" s="112"/>
      <c r="I64" s="112"/>
      <c r="J64" s="112"/>
      <c r="K64" s="111"/>
      <c r="L64" s="111"/>
      <c r="M64" s="111"/>
      <c r="N64" s="111"/>
      <c r="O64" s="111"/>
      <c r="P64" s="113"/>
      <c r="Q64" s="113"/>
      <c r="R64" s="113"/>
      <c r="S64" s="113"/>
      <c r="T64" s="106"/>
    </row>
    <row x14ac:dyDescent="0.25" r="65" customHeight="1" ht="18">
      <c r="A65" s="179"/>
      <c r="B65" s="180"/>
      <c r="C65" s="183"/>
      <c r="D65" s="182"/>
      <c r="E65" s="183"/>
      <c r="F65" s="183"/>
      <c r="G65" s="184"/>
      <c r="H65" s="184"/>
      <c r="I65" s="184"/>
      <c r="J65" s="184"/>
      <c r="K65" s="183"/>
      <c r="L65" s="183"/>
      <c r="M65" s="183"/>
      <c r="N65" s="183"/>
      <c r="O65" s="183"/>
      <c r="P65" s="185"/>
      <c r="Q65" s="185"/>
      <c r="R65" s="185"/>
      <c r="S65" s="185"/>
      <c r="T65" s="186"/>
    </row>
    <row x14ac:dyDescent="0.25" r="66" customHeight="1" ht="18">
      <c r="A66" s="107">
        <v>48</v>
      </c>
      <c r="B66" s="139" t="s">
        <v>212</v>
      </c>
      <c r="C66" s="15" t="s">
        <v>110</v>
      </c>
      <c r="D66" s="14"/>
      <c r="E66" s="12">
        <v>5000</v>
      </c>
      <c r="F66" s="12">
        <v>10500</v>
      </c>
      <c r="G66" s="140"/>
      <c r="H66" s="140"/>
      <c r="I66" s="140"/>
      <c r="J66" s="112"/>
      <c r="K66" s="111"/>
      <c r="L66" s="111"/>
      <c r="M66" s="111"/>
      <c r="N66" s="111"/>
      <c r="O66" s="111"/>
      <c r="P66" s="113"/>
      <c r="Q66" s="113"/>
      <c r="R66" s="113"/>
      <c r="S66" s="113"/>
      <c r="T66" s="106"/>
    </row>
    <row x14ac:dyDescent="0.25" r="67" customHeight="1" ht="18">
      <c r="A67" s="122">
        <v>49</v>
      </c>
      <c r="B67" s="115" t="s">
        <v>213</v>
      </c>
      <c r="C67" s="15" t="s">
        <v>214</v>
      </c>
      <c r="D67" s="14"/>
      <c r="E67" s="12">
        <v>10500</v>
      </c>
      <c r="F67" s="12">
        <v>10500</v>
      </c>
      <c r="G67" s="127"/>
      <c r="H67" s="127"/>
      <c r="I67" s="127"/>
      <c r="J67" s="138"/>
      <c r="K67" s="197"/>
      <c r="L67" s="197"/>
      <c r="M67" s="111"/>
      <c r="N67" s="111"/>
      <c r="O67" s="111"/>
      <c r="P67" s="126"/>
      <c r="Q67" s="126"/>
      <c r="R67" s="126"/>
      <c r="S67" s="126"/>
      <c r="T67" s="138"/>
    </row>
    <row x14ac:dyDescent="0.25" r="68" customHeight="1" ht="18">
      <c r="A68" s="122">
        <v>50</v>
      </c>
      <c r="B68" s="209" t="s">
        <v>215</v>
      </c>
      <c r="C68" s="15" t="s">
        <v>216</v>
      </c>
      <c r="D68" s="14"/>
      <c r="E68" s="12">
        <v>10500</v>
      </c>
      <c r="F68" s="12">
        <v>10500</v>
      </c>
      <c r="G68" s="125"/>
      <c r="H68" s="125"/>
      <c r="I68" s="125"/>
      <c r="J68" s="125"/>
      <c r="K68" s="210"/>
      <c r="L68" s="197"/>
      <c r="M68" s="111"/>
      <c r="N68" s="111"/>
      <c r="O68" s="111"/>
      <c r="P68" s="197"/>
      <c r="Q68" s="197"/>
      <c r="R68" s="197"/>
      <c r="S68" s="197"/>
      <c r="T68" s="138"/>
    </row>
    <row x14ac:dyDescent="0.25" r="69" customHeight="1" ht="18">
      <c r="A69" s="179"/>
      <c r="B69" s="211"/>
      <c r="C69" s="183"/>
      <c r="D69" s="182"/>
      <c r="E69" s="183"/>
      <c r="F69" s="183"/>
      <c r="G69" s="184"/>
      <c r="H69" s="184"/>
      <c r="I69" s="184"/>
      <c r="J69" s="184"/>
      <c r="K69" s="183"/>
      <c r="L69" s="212"/>
      <c r="M69" s="183"/>
      <c r="N69" s="183"/>
      <c r="O69" s="183"/>
      <c r="P69" s="212"/>
      <c r="Q69" s="212"/>
      <c r="R69" s="212"/>
      <c r="S69" s="212"/>
      <c r="T69" s="186"/>
    </row>
    <row x14ac:dyDescent="0.25" r="70" customHeight="1" ht="18">
      <c r="A70" s="107">
        <v>51</v>
      </c>
      <c r="B70" s="139" t="s">
        <v>217</v>
      </c>
      <c r="C70" s="15" t="s">
        <v>218</v>
      </c>
      <c r="D70" s="14"/>
      <c r="E70" s="114"/>
      <c r="F70" s="12">
        <v>8800</v>
      </c>
      <c r="G70" s="112"/>
      <c r="H70" s="112"/>
      <c r="I70" s="112"/>
      <c r="J70" s="112"/>
      <c r="K70" s="111"/>
      <c r="L70" s="111"/>
      <c r="M70" s="128"/>
      <c r="N70" s="128"/>
      <c r="O70" s="128"/>
      <c r="P70" s="113"/>
      <c r="Q70" s="113"/>
      <c r="R70" s="113"/>
      <c r="S70" s="113"/>
      <c r="T70" s="106"/>
    </row>
    <row x14ac:dyDescent="0.25" r="71" customHeight="1" ht="18">
      <c r="A71" s="122">
        <v>52</v>
      </c>
      <c r="B71" s="115" t="s">
        <v>219</v>
      </c>
      <c r="C71" s="15" t="s">
        <v>220</v>
      </c>
      <c r="D71" s="14"/>
      <c r="E71" s="114"/>
      <c r="F71" s="12">
        <v>8800</v>
      </c>
      <c r="G71" s="125"/>
      <c r="H71" s="125"/>
      <c r="I71" s="125"/>
      <c r="J71" s="138"/>
      <c r="K71" s="197"/>
      <c r="L71" s="197"/>
      <c r="M71" s="197"/>
      <c r="N71" s="197"/>
      <c r="O71" s="126"/>
      <c r="P71" s="126"/>
      <c r="Q71" s="126"/>
      <c r="R71" s="126"/>
      <c r="S71" s="126"/>
      <c r="T71" s="213"/>
    </row>
    <row x14ac:dyDescent="0.25" r="72" customHeight="1" ht="18">
      <c r="A72" s="122">
        <v>53</v>
      </c>
      <c r="B72" s="115" t="s">
        <v>221</v>
      </c>
      <c r="C72" s="15" t="s">
        <v>222</v>
      </c>
      <c r="D72" s="14"/>
      <c r="E72" s="12">
        <v>9000</v>
      </c>
      <c r="F72" s="12">
        <v>9000</v>
      </c>
      <c r="G72" s="138"/>
      <c r="H72" s="138"/>
      <c r="I72" s="138"/>
      <c r="J72" s="138"/>
      <c r="K72" s="197"/>
      <c r="L72" s="197"/>
      <c r="M72" s="197"/>
      <c r="N72" s="197"/>
      <c r="O72" s="126"/>
      <c r="P72" s="126"/>
      <c r="Q72" s="126"/>
      <c r="R72" s="126"/>
      <c r="S72" s="126"/>
      <c r="T72" s="138"/>
    </row>
    <row x14ac:dyDescent="0.25" r="73" customHeight="1" ht="18">
      <c r="A73" s="122">
        <v>30</v>
      </c>
      <c r="B73" s="115" t="s">
        <v>223</v>
      </c>
      <c r="C73" s="15" t="s">
        <v>224</v>
      </c>
      <c r="D73" s="14"/>
      <c r="E73" s="114"/>
      <c r="F73" s="12">
        <v>8800</v>
      </c>
      <c r="G73" s="138"/>
      <c r="H73" s="138"/>
      <c r="I73" s="138"/>
      <c r="J73" s="150"/>
      <c r="K73" s="214"/>
      <c r="L73" s="214"/>
      <c r="M73" s="214"/>
      <c r="N73" s="214"/>
      <c r="O73" s="126"/>
      <c r="P73" s="126"/>
      <c r="Q73" s="126"/>
      <c r="R73" s="126"/>
      <c r="S73" s="126"/>
      <c r="T73" s="138"/>
    </row>
    <row x14ac:dyDescent="0.25" r="74" customHeight="1" ht="18">
      <c r="A74" s="179"/>
      <c r="B74" s="180"/>
      <c r="C74" s="183"/>
      <c r="D74" s="182"/>
      <c r="E74" s="212"/>
      <c r="F74" s="212"/>
      <c r="G74" s="186"/>
      <c r="H74" s="215"/>
      <c r="I74" s="215"/>
      <c r="J74" s="216"/>
      <c r="K74" s="217"/>
      <c r="L74" s="217"/>
      <c r="M74" s="217"/>
      <c r="N74" s="217"/>
      <c r="O74" s="185"/>
      <c r="P74" s="185"/>
      <c r="Q74" s="185"/>
      <c r="R74" s="185"/>
      <c r="S74" s="185"/>
      <c r="T74" s="186"/>
    </row>
    <row x14ac:dyDescent="0.25" r="75" customHeight="1" ht="18">
      <c r="A75" s="122">
        <v>55</v>
      </c>
      <c r="B75" s="139" t="s">
        <v>225</v>
      </c>
      <c r="C75" s="15" t="s">
        <v>226</v>
      </c>
      <c r="D75" s="14"/>
      <c r="E75" s="114"/>
      <c r="F75" s="12">
        <v>5000</v>
      </c>
      <c r="G75" s="131"/>
      <c r="H75" s="112"/>
      <c r="I75" s="112"/>
      <c r="J75" s="112"/>
      <c r="K75" s="111"/>
      <c r="L75" s="111"/>
      <c r="M75" s="113"/>
      <c r="N75" s="111"/>
      <c r="O75" s="111"/>
      <c r="P75" s="113"/>
      <c r="Q75" s="113"/>
      <c r="R75" s="113"/>
      <c r="S75" s="113"/>
      <c r="T75" s="106"/>
    </row>
    <row x14ac:dyDescent="0.25" r="76" customHeight="1" ht="18">
      <c r="A76" s="107">
        <v>56</v>
      </c>
      <c r="B76" s="115" t="s">
        <v>227</v>
      </c>
      <c r="C76" s="15" t="s">
        <v>228</v>
      </c>
      <c r="D76" s="14"/>
      <c r="E76" s="114"/>
      <c r="F76" s="12">
        <v>8800</v>
      </c>
      <c r="G76" s="112"/>
      <c r="H76" s="112"/>
      <c r="I76" s="112"/>
      <c r="J76" s="112"/>
      <c r="K76" s="128"/>
      <c r="L76" s="128"/>
      <c r="M76" s="113"/>
      <c r="N76" s="128"/>
      <c r="O76" s="128"/>
      <c r="P76" s="113"/>
      <c r="Q76" s="113"/>
      <c r="R76" s="113"/>
      <c r="S76" s="113"/>
      <c r="T76" s="106"/>
    </row>
    <row x14ac:dyDescent="0.25" r="77" customHeight="1" ht="18">
      <c r="A77" s="107">
        <v>57</v>
      </c>
      <c r="B77" s="139" t="s">
        <v>229</v>
      </c>
      <c r="C77" s="15" t="s">
        <v>230</v>
      </c>
      <c r="D77" s="14"/>
      <c r="E77" s="114"/>
      <c r="F77" s="12">
        <v>8800</v>
      </c>
      <c r="G77" s="112"/>
      <c r="H77" s="112"/>
      <c r="I77" s="112"/>
      <c r="J77" s="112"/>
      <c r="K77" s="111"/>
      <c r="L77" s="128"/>
      <c r="M77" s="113"/>
      <c r="N77" s="128"/>
      <c r="O77" s="128"/>
      <c r="P77" s="113"/>
      <c r="Q77" s="113"/>
      <c r="R77" s="113"/>
      <c r="S77" s="113"/>
      <c r="T77" s="106" t="s">
        <v>231</v>
      </c>
    </row>
    <row x14ac:dyDescent="0.25" r="78" customHeight="1" ht="18">
      <c r="A78" s="122">
        <v>58</v>
      </c>
      <c r="B78" s="115" t="s">
        <v>232</v>
      </c>
      <c r="C78" s="15" t="s">
        <v>233</v>
      </c>
      <c r="D78" s="14"/>
      <c r="E78" s="114"/>
      <c r="F78" s="12">
        <v>8800</v>
      </c>
      <c r="G78" s="127"/>
      <c r="H78" s="127"/>
      <c r="I78" s="127"/>
      <c r="J78" s="138"/>
      <c r="K78" s="197"/>
      <c r="L78" s="197"/>
      <c r="M78" s="197"/>
      <c r="N78" s="197"/>
      <c r="O78" s="126"/>
      <c r="P78" s="126"/>
      <c r="Q78" s="126"/>
      <c r="R78" s="126"/>
      <c r="S78" s="126"/>
      <c r="T78" s="138"/>
    </row>
    <row x14ac:dyDescent="0.25" r="79" customHeight="1" ht="18">
      <c r="A79" s="122">
        <v>59</v>
      </c>
      <c r="B79" s="156" t="s">
        <v>234</v>
      </c>
      <c r="C79" s="15" t="s">
        <v>235</v>
      </c>
      <c r="D79" s="14"/>
      <c r="E79" s="114"/>
      <c r="F79" s="12">
        <v>8800</v>
      </c>
      <c r="G79" s="125"/>
      <c r="H79" s="125"/>
      <c r="I79" s="125"/>
      <c r="J79" s="150"/>
      <c r="K79" s="214"/>
      <c r="L79" s="214"/>
      <c r="M79" s="214"/>
      <c r="N79" s="214"/>
      <c r="O79" s="142"/>
      <c r="P79" s="142"/>
      <c r="Q79" s="142"/>
      <c r="R79" s="142"/>
      <c r="S79" s="142"/>
      <c r="T79" s="218"/>
    </row>
    <row x14ac:dyDescent="0.25" r="80" customHeight="1" ht="18">
      <c r="A80" s="122">
        <v>60</v>
      </c>
      <c r="B80" s="156" t="s">
        <v>236</v>
      </c>
      <c r="C80" s="15" t="s">
        <v>237</v>
      </c>
      <c r="D80" s="14"/>
      <c r="E80" s="114"/>
      <c r="F80" s="12">
        <v>8800</v>
      </c>
      <c r="G80" s="127"/>
      <c r="H80" s="127"/>
      <c r="I80" s="127"/>
      <c r="J80" s="127"/>
      <c r="K80" s="141"/>
      <c r="L80" s="111"/>
      <c r="M80" s="126"/>
      <c r="N80" s="111"/>
      <c r="O80" s="111"/>
      <c r="P80" s="126"/>
      <c r="Q80" s="126"/>
      <c r="R80" s="126"/>
      <c r="S80" s="137"/>
      <c r="T80" s="106"/>
    </row>
    <row x14ac:dyDescent="0.25" r="81" customHeight="1" ht="18">
      <c r="A81" s="122">
        <v>61</v>
      </c>
      <c r="B81" s="115" t="s">
        <v>238</v>
      </c>
      <c r="C81" s="15" t="s">
        <v>239</v>
      </c>
      <c r="D81" s="14"/>
      <c r="E81" s="114"/>
      <c r="F81" s="12">
        <v>8800</v>
      </c>
      <c r="G81" s="127"/>
      <c r="H81" s="127"/>
      <c r="I81" s="127"/>
      <c r="J81" s="127"/>
      <c r="K81" s="219"/>
      <c r="L81" s="111"/>
      <c r="M81" s="126"/>
      <c r="N81" s="111"/>
      <c r="O81" s="111"/>
      <c r="P81" s="126"/>
      <c r="Q81" s="126"/>
      <c r="R81" s="126"/>
      <c r="S81" s="137"/>
      <c r="T81" s="106"/>
    </row>
    <row x14ac:dyDescent="0.25" r="82" customHeight="1" ht="18">
      <c r="A82" s="220"/>
      <c r="B82" s="221"/>
      <c r="C82" s="222">
        <v>60</v>
      </c>
      <c r="D82" s="223"/>
      <c r="E82" s="224">
        <f>SUM(E3:E80)</f>
      </c>
      <c r="F82" s="224">
        <f>SUM(F3:F80)</f>
      </c>
      <c r="G82" s="223"/>
      <c r="H82" s="223"/>
      <c r="I82" s="223"/>
      <c r="J82" s="223"/>
      <c r="K82" s="224">
        <f>SUM(K3:K80)</f>
      </c>
      <c r="L82" s="224">
        <f>SUM(L3:L80)</f>
      </c>
      <c r="M82" s="224">
        <f>SUM(M2:M80)</f>
      </c>
      <c r="N82" s="224">
        <f>SUM(N2:N80)</f>
      </c>
      <c r="O82" s="224">
        <f>SUM(O2:O80)</f>
      </c>
      <c r="P82" s="224">
        <f>SUM(P2:P80)</f>
      </c>
      <c r="Q82" s="224">
        <f>SUM(Q2:Q80)</f>
      </c>
      <c r="R82" s="224">
        <f>SUM(R2:R80)</f>
      </c>
      <c r="S82" s="224">
        <f>SUM(S2:S80)</f>
      </c>
      <c r="T82" s="151"/>
    </row>
    <row x14ac:dyDescent="0.25" r="83" customHeight="1" ht="18">
      <c r="A83" s="141"/>
      <c r="B83" s="141"/>
      <c r="C83" s="141"/>
      <c r="D83" s="106"/>
      <c r="E83" s="141"/>
      <c r="F83" s="141"/>
      <c r="G83" s="106"/>
      <c r="H83" s="106"/>
      <c r="I83" s="106"/>
      <c r="J83" s="106"/>
      <c r="K83" s="141"/>
      <c r="L83" s="141"/>
      <c r="M83" s="141"/>
      <c r="N83" s="141"/>
      <c r="O83" s="141"/>
      <c r="P83" s="141"/>
      <c r="Q83" s="141"/>
      <c r="R83" s="141"/>
      <c r="S83" s="141"/>
      <c r="T83" s="106"/>
    </row>
    <row x14ac:dyDescent="0.25" r="84" customHeight="1" ht="18">
      <c r="A84" s="225"/>
      <c r="B84" s="225" t="s">
        <v>240</v>
      </c>
      <c r="C84" s="141"/>
      <c r="D84" s="106"/>
      <c r="E84" s="141"/>
      <c r="F84" s="141"/>
      <c r="G84" s="106"/>
      <c r="H84" s="106"/>
      <c r="I84" s="106"/>
      <c r="J84" s="106"/>
      <c r="K84" s="141"/>
      <c r="L84" s="141"/>
      <c r="M84" s="141"/>
      <c r="N84" s="141"/>
      <c r="O84" s="141"/>
      <c r="P84" s="141"/>
      <c r="Q84" s="141"/>
      <c r="R84" s="141"/>
      <c r="S84" s="141"/>
      <c r="T84" s="106"/>
    </row>
    <row x14ac:dyDescent="0.25" r="85" customHeight="1" ht="18">
      <c r="A85" s="197"/>
      <c r="B85" s="197"/>
      <c r="C85" s="141"/>
      <c r="D85" s="106"/>
      <c r="E85" s="141"/>
      <c r="F85" s="141"/>
      <c r="G85" s="106"/>
      <c r="H85" s="106"/>
      <c r="I85" s="106"/>
      <c r="J85" s="106"/>
      <c r="K85" s="141"/>
      <c r="L85" s="141"/>
      <c r="M85" s="141"/>
      <c r="N85" s="141"/>
      <c r="O85" s="141"/>
      <c r="P85" s="141"/>
      <c r="Q85" s="141"/>
      <c r="R85" s="141"/>
      <c r="S85" s="141"/>
      <c r="T85" s="10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7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7" width="13.005" customWidth="1" bestFit="1"/>
    <col min="2" max="2" style="17" width="10.290714285714287" customWidth="1" bestFit="1"/>
    <col min="3" max="3" style="17" width="16.290714285714284" customWidth="1" bestFit="1"/>
    <col min="4" max="4" style="16" width="6.2907142857142855" customWidth="1" bestFit="1"/>
    <col min="5" max="5" style="17" width="8.862142857142858" customWidth="1" bestFit="1"/>
    <col min="6" max="6" style="17" width="12.43357142857143" customWidth="1" bestFit="1"/>
    <col min="7" max="7" style="16" width="11.147857142857141" customWidth="1" bestFit="1"/>
    <col min="8" max="8" style="16" width="4.719285714285714" customWidth="1" bestFit="1"/>
    <col min="9" max="9" style="17" width="4.862142857142857" customWidth="1" bestFit="1"/>
    <col min="10" max="10" style="17" width="4.576428571428571" customWidth="1" bestFit="1"/>
    <col min="11" max="11" style="17" width="4.433571428571429" customWidth="1" bestFit="1"/>
    <col min="12" max="12" style="17" width="5.005" customWidth="1" bestFit="1"/>
    <col min="13" max="13" style="17" width="4.576428571428571" customWidth="1" bestFit="1"/>
    <col min="14" max="14" style="17" width="9.43357142857143" customWidth="1" bestFit="1"/>
    <col min="15" max="15" style="17" width="9.719285714285713" customWidth="1" bestFit="1"/>
    <col min="16" max="16" style="17" width="10.290714285714287" customWidth="1" bestFit="1"/>
    <col min="17" max="17" style="17" width="4.2907142857142855" customWidth="1" bestFit="1"/>
    <col min="18" max="18" style="16" width="53.43357142857143" customWidth="1" bestFit="1"/>
    <col min="19" max="19" style="16" width="13.005" customWidth="1" bestFit="1"/>
    <col min="20" max="20" style="16" width="13.005" customWidth="1" bestFit="1"/>
    <col min="21" max="21" style="16" width="13.005" customWidth="1" bestFit="1"/>
    <col min="22" max="22" style="16" width="13.005" customWidth="1" bestFit="1"/>
    <col min="23" max="23" style="16" width="13.005" customWidth="1" bestFit="1"/>
    <col min="24" max="24" style="16" width="13.005" customWidth="1" bestFit="1"/>
    <col min="25" max="25" style="16" width="13.005" customWidth="1" bestFit="1"/>
    <col min="26" max="26" style="16" width="13.005" customWidth="1" bestFit="1"/>
    <col min="27" max="27" style="16" width="13.005" customWidth="1" bestFit="1"/>
    <col min="28" max="28" style="16" width="13.005" customWidth="1" bestFit="1"/>
  </cols>
  <sheetData>
    <row x14ac:dyDescent="0.25" r="1" customHeight="1" ht="18">
      <c r="A1" s="96" t="s">
        <v>71</v>
      </c>
      <c r="B1" s="97" t="s">
        <v>72</v>
      </c>
      <c r="C1" s="97" t="s">
        <v>0</v>
      </c>
      <c r="D1" s="98" t="s">
        <v>73</v>
      </c>
      <c r="E1" s="97" t="s">
        <v>74</v>
      </c>
      <c r="F1" s="97" t="s">
        <v>75</v>
      </c>
      <c r="G1" s="99" t="s">
        <v>76</v>
      </c>
      <c r="H1" s="99" t="s">
        <v>77</v>
      </c>
      <c r="I1" s="97" t="s">
        <v>78</v>
      </c>
      <c r="J1" s="97" t="s">
        <v>79</v>
      </c>
      <c r="K1" s="97" t="s">
        <v>80</v>
      </c>
      <c r="L1" s="97" t="s">
        <v>81</v>
      </c>
      <c r="M1" s="97" t="s">
        <v>82</v>
      </c>
      <c r="N1" s="100">
        <v>46023</v>
      </c>
      <c r="O1" s="100">
        <v>46054</v>
      </c>
      <c r="P1" s="100">
        <v>46082</v>
      </c>
      <c r="Q1" s="100">
        <v>46113</v>
      </c>
      <c r="R1" s="99" t="s">
        <v>2</v>
      </c>
      <c r="S1" s="7"/>
      <c r="T1" s="7"/>
      <c r="U1" s="7"/>
      <c r="V1" s="7"/>
      <c r="W1" s="7"/>
      <c r="X1" s="7"/>
      <c r="Y1" s="7"/>
      <c r="Z1" s="7"/>
      <c r="AA1" s="7"/>
      <c r="AB1" s="7"/>
    </row>
    <row x14ac:dyDescent="0.25" r="2" customHeight="1" ht="18">
      <c r="A2" s="101" t="s">
        <v>83</v>
      </c>
      <c r="B2" s="102">
        <v>6</v>
      </c>
      <c r="C2" s="103"/>
      <c r="D2" s="104"/>
      <c r="E2" s="105"/>
      <c r="F2" s="105"/>
      <c r="G2" s="104"/>
      <c r="H2" s="104"/>
      <c r="I2" s="105"/>
      <c r="J2" s="105"/>
      <c r="K2" s="105"/>
      <c r="L2" s="105"/>
      <c r="M2" s="105"/>
      <c r="N2" s="105"/>
      <c r="O2" s="105"/>
      <c r="P2" s="105"/>
      <c r="Q2" s="105"/>
      <c r="R2" s="106"/>
      <c r="S2" s="7"/>
      <c r="T2" s="7"/>
      <c r="U2" s="7"/>
      <c r="V2" s="7"/>
      <c r="W2" s="7"/>
      <c r="X2" s="7"/>
      <c r="Y2" s="7"/>
      <c r="Z2" s="7"/>
      <c r="AA2" s="7"/>
      <c r="AB2" s="7"/>
    </row>
    <row x14ac:dyDescent="0.25" r="3" customHeight="1" ht="18">
      <c r="A3" s="107">
        <v>1</v>
      </c>
      <c r="B3" s="108" t="s">
        <v>84</v>
      </c>
      <c r="C3" s="109"/>
      <c r="D3" s="110"/>
      <c r="E3" s="111"/>
      <c r="F3" s="111"/>
      <c r="G3" s="112"/>
      <c r="H3" s="112"/>
      <c r="I3" s="111"/>
      <c r="J3" s="111"/>
      <c r="K3" s="111"/>
      <c r="L3" s="111"/>
      <c r="M3" s="111"/>
      <c r="N3" s="111"/>
      <c r="O3" s="113"/>
      <c r="P3" s="113"/>
      <c r="Q3" s="113"/>
      <c r="R3" s="106"/>
      <c r="S3" s="7"/>
      <c r="T3" s="7"/>
      <c r="U3" s="7"/>
      <c r="V3" s="7"/>
      <c r="W3" s="7"/>
      <c r="X3" s="7"/>
      <c r="Y3" s="7"/>
      <c r="Z3" s="7"/>
      <c r="AA3" s="7"/>
      <c r="AB3" s="7"/>
    </row>
    <row x14ac:dyDescent="0.25" r="4" customHeight="1" ht="18">
      <c r="A4" s="107">
        <v>2</v>
      </c>
      <c r="B4" s="108" t="s">
        <v>85</v>
      </c>
      <c r="C4" s="90" t="s">
        <v>86</v>
      </c>
      <c r="D4" s="110"/>
      <c r="E4" s="114"/>
      <c r="F4" s="12">
        <v>8000</v>
      </c>
      <c r="G4" s="112"/>
      <c r="H4" s="112"/>
      <c r="I4" s="111"/>
      <c r="J4" s="111"/>
      <c r="K4" s="111"/>
      <c r="L4" s="111"/>
      <c r="M4" s="111"/>
      <c r="N4" s="111"/>
      <c r="O4" s="113"/>
      <c r="P4" s="113"/>
      <c r="Q4" s="113"/>
      <c r="R4" s="106"/>
      <c r="S4" s="7"/>
      <c r="T4" s="7"/>
      <c r="U4" s="7"/>
      <c r="V4" s="7"/>
      <c r="W4" s="7"/>
      <c r="X4" s="7"/>
      <c r="Y4" s="7"/>
      <c r="Z4" s="7"/>
      <c r="AA4" s="7"/>
      <c r="AB4" s="7"/>
    </row>
    <row x14ac:dyDescent="0.25" r="5" customHeight="1" ht="18">
      <c r="A5" s="107">
        <v>3</v>
      </c>
      <c r="B5" s="115" t="s">
        <v>87</v>
      </c>
      <c r="C5" s="90" t="s">
        <v>88</v>
      </c>
      <c r="D5" s="110"/>
      <c r="E5" s="12">
        <v>8500</v>
      </c>
      <c r="F5" s="12">
        <v>8500</v>
      </c>
      <c r="G5" s="112"/>
      <c r="H5" s="112"/>
      <c r="I5" s="111"/>
      <c r="J5" s="111"/>
      <c r="K5" s="111"/>
      <c r="L5" s="111"/>
      <c r="M5" s="111"/>
      <c r="N5" s="111"/>
      <c r="O5" s="113"/>
      <c r="P5" s="113"/>
      <c r="Q5" s="113"/>
      <c r="R5" s="106"/>
      <c r="S5" s="7"/>
      <c r="T5" s="7"/>
      <c r="U5" s="7"/>
      <c r="V5" s="7"/>
      <c r="W5" s="7"/>
      <c r="X5" s="7"/>
      <c r="Y5" s="7"/>
      <c r="Z5" s="7"/>
      <c r="AA5" s="7"/>
      <c r="AB5" s="7"/>
    </row>
    <row x14ac:dyDescent="0.25" r="6" customHeight="1" ht="18">
      <c r="A6" s="107">
        <v>4</v>
      </c>
      <c r="B6" s="115" t="s">
        <v>89</v>
      </c>
      <c r="C6" s="90" t="s">
        <v>90</v>
      </c>
      <c r="D6" s="110"/>
      <c r="E6" s="12">
        <v>8500</v>
      </c>
      <c r="F6" s="12">
        <v>10000</v>
      </c>
      <c r="G6" s="112"/>
      <c r="H6" s="112"/>
      <c r="I6" s="111"/>
      <c r="J6" s="111"/>
      <c r="K6" s="111"/>
      <c r="L6" s="111"/>
      <c r="M6" s="111"/>
      <c r="N6" s="111"/>
      <c r="O6" s="113"/>
      <c r="P6" s="113"/>
      <c r="Q6" s="113"/>
      <c r="R6" s="106"/>
      <c r="S6" s="7"/>
      <c r="T6" s="7"/>
      <c r="U6" s="7"/>
      <c r="V6" s="7"/>
      <c r="W6" s="7"/>
      <c r="X6" s="7"/>
      <c r="Y6" s="7"/>
      <c r="Z6" s="7"/>
      <c r="AA6" s="7"/>
      <c r="AB6" s="7"/>
    </row>
    <row x14ac:dyDescent="0.25" r="7" customHeight="1" ht="18">
      <c r="A7" s="107">
        <v>5</v>
      </c>
      <c r="B7" s="115" t="s">
        <v>91</v>
      </c>
      <c r="C7" s="90" t="s">
        <v>92</v>
      </c>
      <c r="D7" s="110"/>
      <c r="E7" s="114"/>
      <c r="F7" s="12">
        <v>10000</v>
      </c>
      <c r="G7" s="112"/>
      <c r="H7" s="112"/>
      <c r="I7" s="111"/>
      <c r="J7" s="111"/>
      <c r="K7" s="111"/>
      <c r="L7" s="111"/>
      <c r="M7" s="111"/>
      <c r="N7" s="111"/>
      <c r="O7" s="113"/>
      <c r="P7" s="113"/>
      <c r="Q7" s="113"/>
      <c r="R7" s="106"/>
      <c r="S7" s="7"/>
      <c r="T7" s="7"/>
      <c r="U7" s="7"/>
      <c r="V7" s="7"/>
      <c r="W7" s="7"/>
      <c r="X7" s="7"/>
      <c r="Y7" s="7"/>
      <c r="Z7" s="7"/>
      <c r="AA7" s="7"/>
      <c r="AB7" s="7"/>
    </row>
    <row x14ac:dyDescent="0.25" r="8" customHeight="1" ht="18">
      <c r="A8" s="116">
        <v>6</v>
      </c>
      <c r="B8" s="117" t="s">
        <v>93</v>
      </c>
      <c r="C8" s="118"/>
      <c r="D8" s="119"/>
      <c r="E8" s="120"/>
      <c r="F8" s="121"/>
      <c r="G8" s="112"/>
      <c r="H8" s="112"/>
      <c r="I8" s="111"/>
      <c r="J8" s="111"/>
      <c r="K8" s="111"/>
      <c r="L8" s="111"/>
      <c r="M8" s="111"/>
      <c r="N8" s="111"/>
      <c r="O8" s="113"/>
      <c r="P8" s="113"/>
      <c r="Q8" s="113"/>
      <c r="R8" s="106"/>
      <c r="S8" s="7"/>
      <c r="T8" s="7"/>
      <c r="U8" s="7"/>
      <c r="V8" s="7"/>
      <c r="W8" s="7"/>
      <c r="X8" s="7"/>
      <c r="Y8" s="7"/>
      <c r="Z8" s="7"/>
      <c r="AA8" s="7"/>
      <c r="AB8" s="7"/>
    </row>
    <row x14ac:dyDescent="0.25" r="9" customHeight="1" ht="18">
      <c r="A9" s="122">
        <v>7</v>
      </c>
      <c r="B9" s="123" t="s">
        <v>94</v>
      </c>
      <c r="C9" s="124"/>
      <c r="D9" s="125"/>
      <c r="E9" s="126"/>
      <c r="F9" s="126"/>
      <c r="G9" s="127"/>
      <c r="H9" s="127"/>
      <c r="I9" s="128"/>
      <c r="J9" s="111"/>
      <c r="K9" s="111"/>
      <c r="L9" s="113"/>
      <c r="M9" s="126"/>
      <c r="N9" s="126"/>
      <c r="O9" s="113"/>
      <c r="P9" s="126"/>
      <c r="Q9" s="126"/>
      <c r="R9" s="106"/>
      <c r="S9" s="7"/>
      <c r="T9" s="7"/>
      <c r="U9" s="7"/>
      <c r="V9" s="7"/>
      <c r="W9" s="7"/>
      <c r="X9" s="7"/>
      <c r="Y9" s="7"/>
      <c r="Z9" s="7"/>
      <c r="AA9" s="7"/>
      <c r="AB9" s="7"/>
    </row>
    <row x14ac:dyDescent="0.25" r="10" customHeight="1" ht="18">
      <c r="A10" s="122">
        <v>8</v>
      </c>
      <c r="B10" s="123" t="s">
        <v>95</v>
      </c>
      <c r="C10" s="129"/>
      <c r="D10" s="127"/>
      <c r="E10" s="126"/>
      <c r="F10" s="126"/>
      <c r="G10" s="127"/>
      <c r="H10" s="127"/>
      <c r="I10" s="128"/>
      <c r="J10" s="111"/>
      <c r="K10" s="111"/>
      <c r="L10" s="126"/>
      <c r="M10" s="126"/>
      <c r="N10" s="126"/>
      <c r="O10" s="126"/>
      <c r="P10" s="126"/>
      <c r="Q10" s="126"/>
      <c r="R10" s="106"/>
      <c r="S10" s="7"/>
      <c r="T10" s="7"/>
      <c r="U10" s="7"/>
      <c r="V10" s="7"/>
      <c r="W10" s="7"/>
      <c r="X10" s="7"/>
      <c r="Y10" s="7"/>
      <c r="Z10" s="7"/>
      <c r="AA10" s="7"/>
      <c r="AB10" s="7"/>
    </row>
    <row x14ac:dyDescent="0.25" r="11" customHeight="1" ht="18">
      <c r="A11" s="101" t="s">
        <v>96</v>
      </c>
      <c r="B11" s="102">
        <v>6</v>
      </c>
      <c r="C11" s="103"/>
      <c r="D11" s="104"/>
      <c r="E11" s="105"/>
      <c r="F11" s="105"/>
      <c r="G11" s="104"/>
      <c r="H11" s="104"/>
      <c r="I11" s="105"/>
      <c r="J11" s="105"/>
      <c r="K11" s="105"/>
      <c r="L11" s="105"/>
      <c r="M11" s="105"/>
      <c r="N11" s="105"/>
      <c r="O11" s="105"/>
      <c r="P11" s="105"/>
      <c r="Q11" s="105"/>
      <c r="R11" s="130"/>
      <c r="S11" s="7"/>
      <c r="T11" s="7"/>
      <c r="U11" s="7"/>
      <c r="V11" s="7"/>
      <c r="W11" s="7"/>
      <c r="X11" s="7"/>
      <c r="Y11" s="7"/>
      <c r="Z11" s="7"/>
      <c r="AA11" s="7"/>
      <c r="AB11" s="7"/>
    </row>
    <row x14ac:dyDescent="0.25" r="12" customHeight="1" ht="18">
      <c r="A12" s="107">
        <v>9</v>
      </c>
      <c r="B12" s="108" t="s">
        <v>84</v>
      </c>
      <c r="C12" s="90" t="s">
        <v>97</v>
      </c>
      <c r="D12" s="131"/>
      <c r="E12" s="12">
        <v>8500</v>
      </c>
      <c r="F12" s="12">
        <v>8500</v>
      </c>
      <c r="G12" s="131"/>
      <c r="H12" s="112"/>
      <c r="I12" s="111"/>
      <c r="J12" s="111"/>
      <c r="K12" s="111"/>
      <c r="L12" s="111"/>
      <c r="M12" s="111"/>
      <c r="N12" s="113"/>
      <c r="O12" s="113"/>
      <c r="P12" s="113"/>
      <c r="Q12" s="132"/>
      <c r="R12" s="106"/>
      <c r="S12" s="7"/>
      <c r="T12" s="7"/>
      <c r="U12" s="7"/>
      <c r="V12" s="7"/>
      <c r="W12" s="7"/>
      <c r="X12" s="7"/>
      <c r="Y12" s="7"/>
      <c r="Z12" s="7"/>
      <c r="AA12" s="7"/>
      <c r="AB12" s="7"/>
    </row>
    <row x14ac:dyDescent="0.25" r="13" customHeight="1" ht="18">
      <c r="A13" s="107">
        <v>10</v>
      </c>
      <c r="B13" s="115" t="s">
        <v>85</v>
      </c>
      <c r="C13" s="90" t="s">
        <v>98</v>
      </c>
      <c r="D13" s="112"/>
      <c r="E13" s="12">
        <v>8500</v>
      </c>
      <c r="F13" s="12">
        <v>8500</v>
      </c>
      <c r="G13" s="112"/>
      <c r="H13" s="112"/>
      <c r="I13" s="111"/>
      <c r="J13" s="111"/>
      <c r="K13" s="111"/>
      <c r="L13" s="111"/>
      <c r="M13" s="111"/>
      <c r="N13" s="111"/>
      <c r="O13" s="113"/>
      <c r="P13" s="113"/>
      <c r="Q13" s="132"/>
      <c r="R13" s="106"/>
      <c r="S13" s="7"/>
      <c r="T13" s="7"/>
      <c r="U13" s="7"/>
      <c r="V13" s="7"/>
      <c r="W13" s="7"/>
      <c r="X13" s="7"/>
      <c r="Y13" s="7"/>
      <c r="Z13" s="7"/>
      <c r="AA13" s="7"/>
      <c r="AB13" s="7"/>
    </row>
    <row x14ac:dyDescent="0.25" r="14" customHeight="1" ht="18">
      <c r="A14" s="116">
        <v>11</v>
      </c>
      <c r="B14" s="133" t="s">
        <v>87</v>
      </c>
      <c r="C14" s="118"/>
      <c r="D14" s="134"/>
      <c r="E14" s="121"/>
      <c r="F14" s="121"/>
      <c r="G14" s="112"/>
      <c r="H14" s="106"/>
      <c r="I14" s="111"/>
      <c r="J14" s="111"/>
      <c r="K14" s="111"/>
      <c r="L14" s="111"/>
      <c r="M14" s="111"/>
      <c r="N14" s="113"/>
      <c r="O14" s="113"/>
      <c r="P14" s="113"/>
      <c r="Q14" s="132"/>
      <c r="R14" s="106"/>
      <c r="S14" s="7"/>
      <c r="T14" s="7"/>
      <c r="U14" s="7"/>
      <c r="V14" s="7"/>
      <c r="W14" s="7"/>
      <c r="X14" s="7"/>
      <c r="Y14" s="7"/>
      <c r="Z14" s="7"/>
      <c r="AA14" s="7"/>
      <c r="AB14" s="7"/>
    </row>
    <row x14ac:dyDescent="0.25" r="15" customHeight="1" ht="18">
      <c r="A15" s="107">
        <v>12</v>
      </c>
      <c r="B15" s="115" t="s">
        <v>89</v>
      </c>
      <c r="C15" s="90" t="s">
        <v>99</v>
      </c>
      <c r="D15" s="131"/>
      <c r="E15" s="12">
        <v>8500</v>
      </c>
      <c r="F15" s="12">
        <v>8500</v>
      </c>
      <c r="G15" s="131"/>
      <c r="H15" s="131"/>
      <c r="I15" s="135"/>
      <c r="J15" s="111"/>
      <c r="K15" s="111"/>
      <c r="L15" s="111"/>
      <c r="M15" s="111"/>
      <c r="N15" s="113"/>
      <c r="O15" s="113"/>
      <c r="P15" s="113"/>
      <c r="Q15" s="132"/>
      <c r="R15" s="106"/>
      <c r="S15" s="7"/>
      <c r="T15" s="7"/>
      <c r="U15" s="7"/>
      <c r="V15" s="7"/>
      <c r="W15" s="7"/>
      <c r="X15" s="7"/>
      <c r="Y15" s="7"/>
      <c r="Z15" s="7"/>
      <c r="AA15" s="7"/>
      <c r="AB15" s="7"/>
    </row>
    <row x14ac:dyDescent="0.25" r="16" customHeight="1" ht="18">
      <c r="A16" s="107">
        <v>13</v>
      </c>
      <c r="B16" s="115" t="s">
        <v>91</v>
      </c>
      <c r="C16" s="90" t="s">
        <v>100</v>
      </c>
      <c r="D16" s="136"/>
      <c r="E16" s="12">
        <v>8500</v>
      </c>
      <c r="F16" s="12">
        <v>8500</v>
      </c>
      <c r="G16" s="127"/>
      <c r="H16" s="127"/>
      <c r="I16" s="128"/>
      <c r="J16" s="128"/>
      <c r="K16" s="128"/>
      <c r="L16" s="128"/>
      <c r="M16" s="128"/>
      <c r="N16" s="128"/>
      <c r="O16" s="126"/>
      <c r="P16" s="126"/>
      <c r="Q16" s="137"/>
      <c r="R16" s="138"/>
      <c r="S16" s="7"/>
      <c r="T16" s="7"/>
      <c r="U16" s="7"/>
      <c r="V16" s="7"/>
      <c r="W16" s="7"/>
      <c r="X16" s="7"/>
      <c r="Y16" s="7"/>
      <c r="Z16" s="7"/>
      <c r="AA16" s="7"/>
      <c r="AB16" s="7"/>
    </row>
    <row x14ac:dyDescent="0.25" r="17" customHeight="1" ht="18">
      <c r="A17" s="107">
        <v>14</v>
      </c>
      <c r="B17" s="139" t="s">
        <v>93</v>
      </c>
      <c r="C17" s="90" t="s">
        <v>101</v>
      </c>
      <c r="D17" s="140"/>
      <c r="E17" s="12">
        <v>8500</v>
      </c>
      <c r="F17" s="12">
        <v>8500</v>
      </c>
      <c r="G17" s="112"/>
      <c r="H17" s="106"/>
      <c r="I17" s="111"/>
      <c r="J17" s="111"/>
      <c r="K17" s="111"/>
      <c r="L17" s="111"/>
      <c r="M17" s="111"/>
      <c r="N17" s="113"/>
      <c r="O17" s="113"/>
      <c r="P17" s="113"/>
      <c r="Q17" s="132"/>
      <c r="R17" s="106"/>
      <c r="S17" s="7"/>
      <c r="T17" s="7"/>
      <c r="U17" s="7"/>
      <c r="V17" s="7"/>
      <c r="W17" s="7"/>
      <c r="X17" s="7"/>
      <c r="Y17" s="7"/>
      <c r="Z17" s="7"/>
      <c r="AA17" s="7"/>
      <c r="AB17" s="7"/>
    </row>
    <row x14ac:dyDescent="0.25" r="18" customHeight="1" ht="18">
      <c r="A18" s="122">
        <v>15</v>
      </c>
      <c r="B18" s="123" t="s">
        <v>94</v>
      </c>
      <c r="C18" s="141"/>
      <c r="D18" s="127"/>
      <c r="E18" s="111"/>
      <c r="F18" s="111"/>
      <c r="G18" s="127"/>
      <c r="H18" s="127"/>
      <c r="I18" s="111"/>
      <c r="J18" s="111"/>
      <c r="K18" s="111"/>
      <c r="L18" s="111"/>
      <c r="M18" s="111"/>
      <c r="N18" s="126"/>
      <c r="O18" s="126"/>
      <c r="P18" s="126"/>
      <c r="Q18" s="137"/>
      <c r="R18" s="106"/>
      <c r="S18" s="7"/>
      <c r="T18" s="7"/>
      <c r="U18" s="7"/>
      <c r="V18" s="7"/>
      <c r="W18" s="7"/>
      <c r="X18" s="7"/>
      <c r="Y18" s="7"/>
      <c r="Z18" s="7"/>
      <c r="AA18" s="7"/>
      <c r="AB18" s="7"/>
    </row>
    <row x14ac:dyDescent="0.25" r="19" customHeight="1" ht="18">
      <c r="A19" s="122">
        <v>16</v>
      </c>
      <c r="B19" s="123" t="s">
        <v>95</v>
      </c>
      <c r="C19" s="142"/>
      <c r="D19" s="127"/>
      <c r="E19" s="126"/>
      <c r="F19" s="126"/>
      <c r="G19" s="127"/>
      <c r="H19" s="127"/>
      <c r="I19" s="128"/>
      <c r="J19" s="111"/>
      <c r="K19" s="111"/>
      <c r="L19" s="126"/>
      <c r="M19" s="126"/>
      <c r="N19" s="126"/>
      <c r="O19" s="126"/>
      <c r="P19" s="126"/>
      <c r="Q19" s="137"/>
      <c r="R19" s="106"/>
      <c r="S19" s="7"/>
      <c r="T19" s="7"/>
      <c r="U19" s="7"/>
      <c r="V19" s="7"/>
      <c r="W19" s="7"/>
      <c r="X19" s="7"/>
      <c r="Y19" s="7"/>
      <c r="Z19" s="7"/>
      <c r="AA19" s="7"/>
      <c r="AB19" s="7"/>
    </row>
    <row x14ac:dyDescent="0.25" r="20" customHeight="1" ht="18">
      <c r="A20" s="101" t="s">
        <v>102</v>
      </c>
      <c r="B20" s="102">
        <v>4</v>
      </c>
      <c r="C20" s="103"/>
      <c r="D20" s="104"/>
      <c r="E20" s="105"/>
      <c r="F20" s="105"/>
      <c r="G20" s="104"/>
      <c r="H20" s="104"/>
      <c r="I20" s="105"/>
      <c r="J20" s="105"/>
      <c r="K20" s="105"/>
      <c r="L20" s="105"/>
      <c r="M20" s="105"/>
      <c r="N20" s="105"/>
      <c r="O20" s="105"/>
      <c r="P20" s="105"/>
      <c r="Q20" s="143"/>
      <c r="R20" s="106"/>
      <c r="S20" s="7"/>
      <c r="T20" s="7"/>
      <c r="U20" s="7"/>
      <c r="V20" s="7"/>
      <c r="W20" s="7"/>
      <c r="X20" s="7"/>
      <c r="Y20" s="7"/>
      <c r="Z20" s="7"/>
      <c r="AA20" s="7"/>
      <c r="AB20" s="7"/>
    </row>
    <row x14ac:dyDescent="0.25" r="21" customHeight="1" ht="18">
      <c r="A21" s="144">
        <v>17</v>
      </c>
      <c r="B21" s="108" t="s">
        <v>84</v>
      </c>
      <c r="C21" s="90" t="s">
        <v>103</v>
      </c>
      <c r="D21" s="110"/>
      <c r="E21" s="111"/>
      <c r="F21" s="145"/>
      <c r="G21" s="146"/>
      <c r="H21" s="146"/>
      <c r="I21" s="145"/>
      <c r="J21" s="145"/>
      <c r="K21" s="145"/>
      <c r="L21" s="145"/>
      <c r="M21" s="145"/>
      <c r="N21" s="147"/>
      <c r="O21" s="147"/>
      <c r="P21" s="147"/>
      <c r="Q21" s="148"/>
      <c r="R21" s="149" t="s">
        <v>104</v>
      </c>
      <c r="S21" s="7"/>
      <c r="T21" s="7"/>
      <c r="U21" s="7"/>
      <c r="V21" s="7"/>
      <c r="W21" s="7"/>
      <c r="X21" s="7"/>
      <c r="Y21" s="7"/>
      <c r="Z21" s="7"/>
      <c r="AA21" s="7"/>
      <c r="AB21" s="7"/>
    </row>
    <row x14ac:dyDescent="0.25" r="22" customHeight="1" ht="18">
      <c r="A22" s="107">
        <v>18</v>
      </c>
      <c r="B22" s="108" t="s">
        <v>85</v>
      </c>
      <c r="C22" s="90" t="s">
        <v>105</v>
      </c>
      <c r="D22" s="110"/>
      <c r="E22" s="111"/>
      <c r="F22" s="12">
        <v>8000</v>
      </c>
      <c r="G22" s="112"/>
      <c r="H22" s="112"/>
      <c r="I22" s="111"/>
      <c r="J22" s="111"/>
      <c r="K22" s="111"/>
      <c r="L22" s="111"/>
      <c r="M22" s="111"/>
      <c r="N22" s="113"/>
      <c r="O22" s="113"/>
      <c r="P22" s="113"/>
      <c r="Q22" s="132"/>
      <c r="R22" s="106"/>
      <c r="S22" s="7"/>
      <c r="T22" s="7"/>
      <c r="U22" s="7"/>
      <c r="V22" s="7"/>
      <c r="W22" s="7"/>
      <c r="X22" s="7"/>
      <c r="Y22" s="7"/>
      <c r="Z22" s="7"/>
      <c r="AA22" s="7"/>
      <c r="AB22" s="7"/>
    </row>
    <row x14ac:dyDescent="0.25" r="23" customHeight="1" ht="18">
      <c r="A23" s="122">
        <v>19</v>
      </c>
      <c r="B23" s="115" t="s">
        <v>87</v>
      </c>
      <c r="C23" s="90" t="s">
        <v>106</v>
      </c>
      <c r="D23" s="136"/>
      <c r="E23" s="128"/>
      <c r="F23" s="12">
        <v>5000</v>
      </c>
      <c r="G23" s="127"/>
      <c r="H23" s="127"/>
      <c r="I23" s="128"/>
      <c r="J23" s="128"/>
      <c r="K23" s="128"/>
      <c r="L23" s="128"/>
      <c r="M23" s="128"/>
      <c r="N23" s="128"/>
      <c r="O23" s="126"/>
      <c r="P23" s="126"/>
      <c r="Q23" s="137"/>
      <c r="R23" s="150"/>
      <c r="S23" s="7"/>
      <c r="T23" s="7"/>
      <c r="U23" s="7"/>
      <c r="V23" s="7"/>
      <c r="W23" s="7"/>
      <c r="X23" s="7"/>
      <c r="Y23" s="7"/>
      <c r="Z23" s="7"/>
      <c r="AA23" s="7"/>
      <c r="AB23" s="7"/>
    </row>
    <row x14ac:dyDescent="0.25" r="24" customHeight="1" ht="18">
      <c r="A24" s="122">
        <v>20</v>
      </c>
      <c r="B24" s="115" t="s">
        <v>89</v>
      </c>
      <c r="C24" s="90" t="s">
        <v>107</v>
      </c>
      <c r="D24" s="110"/>
      <c r="E24" s="128"/>
      <c r="F24" s="12">
        <v>7500</v>
      </c>
      <c r="G24" s="127"/>
      <c r="H24" s="127"/>
      <c r="I24" s="111"/>
      <c r="J24" s="111"/>
      <c r="K24" s="111"/>
      <c r="L24" s="111"/>
      <c r="M24" s="111"/>
      <c r="N24" s="126"/>
      <c r="O24" s="126"/>
      <c r="P24" s="126"/>
      <c r="Q24" s="126"/>
      <c r="R24" s="151"/>
      <c r="S24" s="7"/>
      <c r="T24" s="7"/>
      <c r="U24" s="7"/>
      <c r="V24" s="7"/>
      <c r="W24" s="7"/>
      <c r="X24" s="7"/>
      <c r="Y24" s="7"/>
      <c r="Z24" s="7"/>
      <c r="AA24" s="7"/>
      <c r="AB24" s="7"/>
    </row>
    <row x14ac:dyDescent="0.25" r="25" customHeight="1" ht="18">
      <c r="A25" s="107">
        <v>21</v>
      </c>
      <c r="B25" s="115" t="s">
        <v>91</v>
      </c>
      <c r="C25" s="90" t="s">
        <v>108</v>
      </c>
      <c r="D25" s="110"/>
      <c r="E25" s="111"/>
      <c r="F25" s="12"/>
      <c r="G25" s="112"/>
      <c r="H25" s="112"/>
      <c r="I25" s="111"/>
      <c r="J25" s="111"/>
      <c r="K25" s="111"/>
      <c r="L25" s="111"/>
      <c r="M25" s="111"/>
      <c r="N25" s="113"/>
      <c r="O25" s="113"/>
      <c r="P25" s="113"/>
      <c r="Q25" s="113"/>
      <c r="R25" s="106" t="s">
        <v>109</v>
      </c>
      <c r="S25" s="7"/>
      <c r="T25" s="7"/>
      <c r="U25" s="7"/>
      <c r="V25" s="7"/>
      <c r="W25" s="7"/>
      <c r="X25" s="7"/>
      <c r="Y25" s="7"/>
      <c r="Z25" s="7"/>
      <c r="AA25" s="7"/>
      <c r="AB25" s="7"/>
    </row>
    <row x14ac:dyDescent="0.25" r="26" customHeight="1" ht="18">
      <c r="A26" s="107">
        <v>22</v>
      </c>
      <c r="B26" s="115" t="s">
        <v>93</v>
      </c>
      <c r="C26" s="90" t="s">
        <v>110</v>
      </c>
      <c r="D26" s="112"/>
      <c r="E26" s="113"/>
      <c r="F26" s="12">
        <v>6000</v>
      </c>
      <c r="G26" s="112"/>
      <c r="H26" s="112"/>
      <c r="I26" s="128"/>
      <c r="J26" s="111"/>
      <c r="K26" s="111"/>
      <c r="L26" s="113"/>
      <c r="M26" s="113"/>
      <c r="N26" s="113"/>
      <c r="O26" s="113"/>
      <c r="P26" s="113"/>
      <c r="Q26" s="113"/>
      <c r="R26" s="106"/>
      <c r="S26" s="7"/>
      <c r="T26" s="7"/>
      <c r="U26" s="7"/>
      <c r="V26" s="7"/>
      <c r="W26" s="7"/>
      <c r="X26" s="7"/>
      <c r="Y26" s="7"/>
      <c r="Z26" s="7"/>
      <c r="AA26" s="7"/>
      <c r="AB26" s="7"/>
    </row>
    <row x14ac:dyDescent="0.25" r="27" customHeight="1" ht="18">
      <c r="A27" s="107">
        <v>23</v>
      </c>
      <c r="B27" s="123" t="s">
        <v>94</v>
      </c>
      <c r="C27" s="90" t="s">
        <v>111</v>
      </c>
      <c r="D27" s="112"/>
      <c r="E27" s="113"/>
      <c r="F27" s="12">
        <v>7500</v>
      </c>
      <c r="G27" s="112"/>
      <c r="H27" s="112"/>
      <c r="I27" s="128"/>
      <c r="J27" s="111"/>
      <c r="K27" s="111"/>
      <c r="L27" s="113"/>
      <c r="M27" s="113"/>
      <c r="N27" s="113"/>
      <c r="O27" s="113"/>
      <c r="P27" s="113"/>
      <c r="Q27" s="113"/>
      <c r="R27" s="106"/>
      <c r="S27" s="7"/>
      <c r="T27" s="7"/>
      <c r="U27" s="7"/>
      <c r="V27" s="7"/>
      <c r="W27" s="7"/>
      <c r="X27" s="7"/>
      <c r="Y27" s="7"/>
      <c r="Z27" s="7"/>
      <c r="AA27" s="7"/>
      <c r="AB27" s="7"/>
    </row>
    <row x14ac:dyDescent="0.25" r="28" customHeight="1" ht="18">
      <c r="A28" s="152">
        <v>24</v>
      </c>
      <c r="B28" s="123" t="s">
        <v>95</v>
      </c>
      <c r="C28" s="129"/>
      <c r="D28" s="112"/>
      <c r="E28" s="113"/>
      <c r="F28" s="113"/>
      <c r="G28" s="112"/>
      <c r="H28" s="112"/>
      <c r="I28" s="128"/>
      <c r="J28" s="111"/>
      <c r="K28" s="111"/>
      <c r="L28" s="113"/>
      <c r="M28" s="113"/>
      <c r="N28" s="113"/>
      <c r="O28" s="113"/>
      <c r="P28" s="113"/>
      <c r="Q28" s="113"/>
      <c r="R28" s="106"/>
      <c r="S28" s="7"/>
      <c r="T28" s="7"/>
      <c r="U28" s="7"/>
      <c r="V28" s="7"/>
      <c r="W28" s="7"/>
      <c r="X28" s="7"/>
      <c r="Y28" s="7"/>
      <c r="Z28" s="7"/>
      <c r="AA28" s="7"/>
      <c r="AB28" s="7"/>
    </row>
    <row x14ac:dyDescent="0.25" r="29" customHeight="1" ht="18">
      <c r="A29" s="101" t="s">
        <v>112</v>
      </c>
      <c r="B29" s="102">
        <v>5</v>
      </c>
      <c r="C29" s="103"/>
      <c r="D29" s="104"/>
      <c r="E29" s="105"/>
      <c r="F29" s="105"/>
      <c r="G29" s="104"/>
      <c r="H29" s="104"/>
      <c r="I29" s="105"/>
      <c r="J29" s="105"/>
      <c r="K29" s="105"/>
      <c r="L29" s="105"/>
      <c r="M29" s="105"/>
      <c r="N29" s="105"/>
      <c r="O29" s="105"/>
      <c r="P29" s="105"/>
      <c r="Q29" s="105"/>
      <c r="R29" s="106"/>
      <c r="S29" s="7"/>
      <c r="T29" s="7"/>
      <c r="U29" s="7"/>
      <c r="V29" s="7"/>
      <c r="W29" s="7"/>
      <c r="X29" s="7"/>
      <c r="Y29" s="7"/>
      <c r="Z29" s="7"/>
      <c r="AA29" s="7"/>
      <c r="AB29" s="7"/>
    </row>
    <row x14ac:dyDescent="0.25" r="30" customHeight="1" ht="18">
      <c r="A30" s="107">
        <v>25</v>
      </c>
      <c r="B30" s="108" t="s">
        <v>84</v>
      </c>
      <c r="C30" s="90" t="s">
        <v>113</v>
      </c>
      <c r="D30" s="110"/>
      <c r="E30" s="111"/>
      <c r="F30" s="12">
        <v>8800</v>
      </c>
      <c r="G30" s="140"/>
      <c r="H30" s="112"/>
      <c r="I30" s="111"/>
      <c r="J30" s="111"/>
      <c r="K30" s="111"/>
      <c r="L30" s="111"/>
      <c r="M30" s="111"/>
      <c r="N30" s="113"/>
      <c r="O30" s="113"/>
      <c r="P30" s="113"/>
      <c r="Q30" s="113"/>
      <c r="R30" s="106"/>
      <c r="S30" s="7"/>
      <c r="T30" s="7"/>
      <c r="U30" s="7"/>
      <c r="V30" s="7"/>
      <c r="W30" s="7"/>
      <c r="X30" s="7"/>
      <c r="Y30" s="7"/>
      <c r="Z30" s="7"/>
      <c r="AA30" s="7"/>
      <c r="AB30" s="7"/>
    </row>
    <row x14ac:dyDescent="0.25" r="31" customHeight="1" ht="18">
      <c r="A31" s="107">
        <v>26</v>
      </c>
      <c r="B31" s="108" t="s">
        <v>85</v>
      </c>
      <c r="C31" s="90" t="s">
        <v>114</v>
      </c>
      <c r="D31" s="110"/>
      <c r="E31" s="111"/>
      <c r="F31" s="12">
        <v>8800</v>
      </c>
      <c r="G31" s="112"/>
      <c r="H31" s="112"/>
      <c r="I31" s="111"/>
      <c r="J31" s="111"/>
      <c r="K31" s="111"/>
      <c r="L31" s="111"/>
      <c r="M31" s="111"/>
      <c r="N31" s="113"/>
      <c r="O31" s="113"/>
      <c r="P31" s="113"/>
      <c r="Q31" s="113"/>
      <c r="R31" s="106"/>
      <c r="S31" s="7"/>
      <c r="T31" s="7"/>
      <c r="U31" s="7"/>
      <c r="V31" s="7"/>
      <c r="W31" s="7"/>
      <c r="X31" s="7"/>
      <c r="Y31" s="7"/>
      <c r="Z31" s="7"/>
      <c r="AA31" s="7"/>
      <c r="AB31" s="7"/>
    </row>
    <row x14ac:dyDescent="0.25" r="32" customHeight="1" ht="18">
      <c r="A32" s="122">
        <v>27</v>
      </c>
      <c r="B32" s="115" t="s">
        <v>87</v>
      </c>
      <c r="C32" s="90" t="s">
        <v>115</v>
      </c>
      <c r="D32" s="110"/>
      <c r="E32" s="111"/>
      <c r="F32" s="12">
        <v>8800</v>
      </c>
      <c r="G32" s="127"/>
      <c r="H32" s="127"/>
      <c r="I32" s="128"/>
      <c r="J32" s="111"/>
      <c r="K32" s="111"/>
      <c r="L32" s="111"/>
      <c r="M32" s="111"/>
      <c r="N32" s="126"/>
      <c r="O32" s="126"/>
      <c r="P32" s="126"/>
      <c r="Q32" s="126"/>
      <c r="R32" s="106"/>
      <c r="S32" s="7"/>
      <c r="T32" s="7"/>
      <c r="U32" s="7"/>
      <c r="V32" s="7"/>
      <c r="W32" s="7"/>
      <c r="X32" s="7"/>
      <c r="Y32" s="7"/>
      <c r="Z32" s="7"/>
      <c r="AA32" s="7"/>
      <c r="AB32" s="7"/>
    </row>
    <row x14ac:dyDescent="0.25" r="33" customHeight="1" ht="18">
      <c r="A33" s="122">
        <v>28</v>
      </c>
      <c r="B33" s="115" t="s">
        <v>89</v>
      </c>
      <c r="C33" s="90" t="s">
        <v>116</v>
      </c>
      <c r="D33" s="136"/>
      <c r="E33" s="12">
        <v>8800</v>
      </c>
      <c r="F33" s="12">
        <v>8800</v>
      </c>
      <c r="G33" s="112"/>
      <c r="H33" s="112"/>
      <c r="I33" s="111"/>
      <c r="J33" s="111"/>
      <c r="K33" s="111"/>
      <c r="L33" s="111"/>
      <c r="M33" s="111"/>
      <c r="N33" s="113"/>
      <c r="O33" s="113"/>
      <c r="P33" s="113"/>
      <c r="Q33" s="113"/>
      <c r="R33" s="106"/>
      <c r="S33" s="7"/>
      <c r="T33" s="7"/>
      <c r="U33" s="7"/>
      <c r="V33" s="7"/>
      <c r="W33" s="7"/>
      <c r="X33" s="7"/>
      <c r="Y33" s="7"/>
      <c r="Z33" s="7"/>
      <c r="AA33" s="7"/>
      <c r="AB33" s="7"/>
    </row>
    <row x14ac:dyDescent="0.25" r="34" customHeight="1" ht="18">
      <c r="A34" s="107">
        <v>29</v>
      </c>
      <c r="B34" s="115" t="s">
        <v>91</v>
      </c>
      <c r="C34" s="90" t="s">
        <v>117</v>
      </c>
      <c r="D34" s="153"/>
      <c r="E34" s="12">
        <v>8800</v>
      </c>
      <c r="F34" s="12">
        <v>8800</v>
      </c>
      <c r="G34" s="154"/>
      <c r="H34" s="154"/>
      <c r="I34" s="111"/>
      <c r="J34" s="111"/>
      <c r="K34" s="111"/>
      <c r="L34" s="111"/>
      <c r="M34" s="111"/>
      <c r="N34" s="155"/>
      <c r="O34" s="155"/>
      <c r="P34" s="155"/>
      <c r="Q34" s="155"/>
      <c r="R34" s="106"/>
      <c r="S34" s="7"/>
      <c r="T34" s="7"/>
      <c r="U34" s="7"/>
      <c r="V34" s="7"/>
      <c r="W34" s="7"/>
      <c r="X34" s="7"/>
      <c r="Y34" s="7"/>
      <c r="Z34" s="7"/>
      <c r="AA34" s="7"/>
      <c r="AB34" s="7"/>
    </row>
    <row x14ac:dyDescent="0.25" r="35" customHeight="1" ht="18">
      <c r="A35" s="107">
        <v>30</v>
      </c>
      <c r="B35" s="139" t="s">
        <v>93</v>
      </c>
      <c r="C35" s="90" t="s">
        <v>118</v>
      </c>
      <c r="D35" s="154"/>
      <c r="E35" s="12">
        <v>8800</v>
      </c>
      <c r="F35" s="12">
        <v>8800</v>
      </c>
      <c r="G35" s="154"/>
      <c r="H35" s="154"/>
      <c r="I35" s="111"/>
      <c r="J35" s="111"/>
      <c r="K35" s="111"/>
      <c r="L35" s="111"/>
      <c r="M35" s="111"/>
      <c r="N35" s="155"/>
      <c r="O35" s="155"/>
      <c r="P35" s="155"/>
      <c r="Q35" s="155"/>
      <c r="R35" s="106"/>
      <c r="S35" s="7"/>
      <c r="T35" s="7"/>
      <c r="U35" s="7"/>
      <c r="V35" s="7"/>
      <c r="W35" s="7"/>
      <c r="X35" s="7"/>
      <c r="Y35" s="7"/>
      <c r="Z35" s="7"/>
      <c r="AA35" s="7"/>
      <c r="AB35" s="7"/>
    </row>
    <row x14ac:dyDescent="0.25" r="36" customHeight="1" ht="18">
      <c r="A36" s="122">
        <v>31</v>
      </c>
      <c r="B36" s="123" t="s">
        <v>94</v>
      </c>
      <c r="C36" s="142"/>
      <c r="D36" s="127"/>
      <c r="E36" s="126"/>
      <c r="F36" s="126"/>
      <c r="G36" s="127"/>
      <c r="H36" s="127"/>
      <c r="I36" s="128"/>
      <c r="J36" s="111"/>
      <c r="K36" s="111"/>
      <c r="L36" s="126"/>
      <c r="M36" s="126"/>
      <c r="N36" s="126"/>
      <c r="O36" s="126"/>
      <c r="P36" s="126"/>
      <c r="Q36" s="126"/>
      <c r="R36" s="106"/>
      <c r="S36" s="7"/>
      <c r="T36" s="7"/>
      <c r="U36" s="7"/>
      <c r="V36" s="7"/>
      <c r="W36" s="7"/>
      <c r="X36" s="7"/>
      <c r="Y36" s="7"/>
      <c r="Z36" s="7"/>
      <c r="AA36" s="7"/>
      <c r="AB36" s="7"/>
    </row>
    <row x14ac:dyDescent="0.25" r="37" customHeight="1" ht="18">
      <c r="A37" s="122">
        <v>32</v>
      </c>
      <c r="B37" s="123" t="s">
        <v>95</v>
      </c>
      <c r="C37" s="142"/>
      <c r="D37" s="127"/>
      <c r="E37" s="126"/>
      <c r="F37" s="126"/>
      <c r="G37" s="127"/>
      <c r="H37" s="127"/>
      <c r="I37" s="128"/>
      <c r="J37" s="111"/>
      <c r="K37" s="111"/>
      <c r="L37" s="126"/>
      <c r="M37" s="126"/>
      <c r="N37" s="126"/>
      <c r="O37" s="126"/>
      <c r="P37" s="126"/>
      <c r="Q37" s="126"/>
      <c r="R37" s="106"/>
      <c r="S37" s="7"/>
      <c r="T37" s="7"/>
      <c r="U37" s="7"/>
      <c r="V37" s="7"/>
      <c r="W37" s="7"/>
      <c r="X37" s="7"/>
      <c r="Y37" s="7"/>
      <c r="Z37" s="7"/>
      <c r="AA37" s="7"/>
      <c r="AB37" s="7"/>
    </row>
    <row x14ac:dyDescent="0.25" r="38" customHeight="1" ht="18">
      <c r="A38" s="101" t="s">
        <v>119</v>
      </c>
      <c r="B38" s="102">
        <v>0</v>
      </c>
      <c r="C38" s="103"/>
      <c r="D38" s="104"/>
      <c r="E38" s="105"/>
      <c r="F38" s="105"/>
      <c r="G38" s="104"/>
      <c r="H38" s="104"/>
      <c r="I38" s="105"/>
      <c r="J38" s="105"/>
      <c r="K38" s="105"/>
      <c r="L38" s="105"/>
      <c r="M38" s="105"/>
      <c r="N38" s="105"/>
      <c r="O38" s="105"/>
      <c r="P38" s="105"/>
      <c r="Q38" s="105"/>
      <c r="R38" s="106"/>
      <c r="S38" s="7"/>
      <c r="T38" s="7"/>
      <c r="U38" s="7"/>
      <c r="V38" s="7"/>
      <c r="W38" s="7"/>
      <c r="X38" s="7"/>
      <c r="Y38" s="7"/>
      <c r="Z38" s="7"/>
      <c r="AA38" s="7"/>
      <c r="AB38" s="7"/>
    </row>
    <row x14ac:dyDescent="0.25" r="39" customHeight="1" ht="18">
      <c r="A39" s="122">
        <v>33</v>
      </c>
      <c r="B39" s="156" t="s">
        <v>84</v>
      </c>
      <c r="C39" s="90" t="s">
        <v>120</v>
      </c>
      <c r="D39" s="154"/>
      <c r="E39" s="155"/>
      <c r="F39" s="12">
        <v>9000</v>
      </c>
      <c r="G39" s="154"/>
      <c r="H39" s="154"/>
      <c r="I39" s="111"/>
      <c r="J39" s="111"/>
      <c r="K39" s="155"/>
      <c r="L39" s="155"/>
      <c r="M39" s="155"/>
      <c r="N39" s="113"/>
      <c r="O39" s="113"/>
      <c r="P39" s="113"/>
      <c r="Q39" s="113"/>
      <c r="R39" s="106"/>
      <c r="S39" s="7"/>
      <c r="T39" s="7"/>
      <c r="U39" s="7"/>
      <c r="V39" s="7"/>
      <c r="W39" s="7"/>
      <c r="X39" s="7"/>
      <c r="Y39" s="7"/>
      <c r="Z39" s="7"/>
      <c r="AA39" s="7"/>
      <c r="AB39" s="7"/>
    </row>
    <row x14ac:dyDescent="0.25" r="40" customHeight="1" ht="18">
      <c r="A40" s="122">
        <v>34</v>
      </c>
      <c r="B40" s="156" t="s">
        <v>85</v>
      </c>
      <c r="C40" s="90" t="s">
        <v>121</v>
      </c>
      <c r="D40" s="110"/>
      <c r="E40" s="12">
        <v>8600</v>
      </c>
      <c r="F40" s="12">
        <v>8600</v>
      </c>
      <c r="G40" s="112"/>
      <c r="H40" s="112"/>
      <c r="I40" s="128"/>
      <c r="J40" s="111"/>
      <c r="K40" s="111"/>
      <c r="L40" s="111"/>
      <c r="M40" s="111"/>
      <c r="N40" s="113"/>
      <c r="O40" s="113"/>
      <c r="P40" s="113"/>
      <c r="Q40" s="113"/>
      <c r="R40" s="106"/>
      <c r="S40" s="7"/>
      <c r="T40" s="7"/>
      <c r="U40" s="7"/>
      <c r="V40" s="7"/>
      <c r="W40" s="7"/>
      <c r="X40" s="7"/>
      <c r="Y40" s="7"/>
      <c r="Z40" s="7"/>
      <c r="AA40" s="7"/>
      <c r="AB40" s="7"/>
    </row>
    <row x14ac:dyDescent="0.25" r="41" customHeight="1" ht="18">
      <c r="A41" s="122">
        <v>35</v>
      </c>
      <c r="B41" s="115" t="s">
        <v>87</v>
      </c>
      <c r="C41" s="90" t="s">
        <v>122</v>
      </c>
      <c r="D41" s="136"/>
      <c r="E41" s="12">
        <v>8600</v>
      </c>
      <c r="F41" s="12">
        <v>8600</v>
      </c>
      <c r="G41" s="112"/>
      <c r="H41" s="112"/>
      <c r="I41" s="128"/>
      <c r="J41" s="111"/>
      <c r="K41" s="128"/>
      <c r="L41" s="128"/>
      <c r="M41" s="128"/>
      <c r="N41" s="113"/>
      <c r="O41" s="113"/>
      <c r="P41" s="113"/>
      <c r="Q41" s="113"/>
      <c r="R41" s="106"/>
      <c r="S41" s="7"/>
      <c r="T41" s="7"/>
      <c r="U41" s="7"/>
      <c r="V41" s="7"/>
      <c r="W41" s="7"/>
      <c r="X41" s="7"/>
      <c r="Y41" s="7"/>
      <c r="Z41" s="7"/>
      <c r="AA41" s="7"/>
      <c r="AB41" s="7"/>
    </row>
    <row x14ac:dyDescent="0.25" r="42" customHeight="1" ht="18">
      <c r="A42" s="107">
        <v>36</v>
      </c>
      <c r="B42" s="115" t="s">
        <v>89</v>
      </c>
      <c r="C42" s="90" t="s">
        <v>123</v>
      </c>
      <c r="D42" s="154"/>
      <c r="E42" s="12"/>
      <c r="F42" s="12">
        <v>8300</v>
      </c>
      <c r="G42" s="154"/>
      <c r="H42" s="154"/>
      <c r="I42" s="111"/>
      <c r="J42" s="111"/>
      <c r="K42" s="111"/>
      <c r="L42" s="111"/>
      <c r="M42" s="111"/>
      <c r="N42" s="113"/>
      <c r="O42" s="113"/>
      <c r="P42" s="113"/>
      <c r="Q42" s="113"/>
      <c r="R42" s="106"/>
      <c r="S42" s="7"/>
      <c r="T42" s="7"/>
      <c r="U42" s="7"/>
      <c r="V42" s="7"/>
      <c r="W42" s="7"/>
      <c r="X42" s="7"/>
      <c r="Y42" s="7"/>
      <c r="Z42" s="7"/>
      <c r="AA42" s="7"/>
      <c r="AB42" s="7"/>
    </row>
    <row x14ac:dyDescent="0.25" r="43" customHeight="1" ht="18">
      <c r="A43" s="157">
        <v>37</v>
      </c>
      <c r="B43" s="115" t="s">
        <v>91</v>
      </c>
      <c r="C43" s="90" t="s">
        <v>124</v>
      </c>
      <c r="D43" s="153"/>
      <c r="E43" s="128"/>
      <c r="F43" s="12">
        <v>8300</v>
      </c>
      <c r="G43" s="154"/>
      <c r="H43" s="154"/>
      <c r="I43" s="128"/>
      <c r="J43" s="111"/>
      <c r="K43" s="111"/>
      <c r="L43" s="155"/>
      <c r="M43" s="155"/>
      <c r="N43" s="155"/>
      <c r="O43" s="155"/>
      <c r="P43" s="155"/>
      <c r="Q43" s="155"/>
      <c r="R43" s="106"/>
      <c r="S43" s="7"/>
      <c r="T43" s="7"/>
      <c r="U43" s="7"/>
      <c r="V43" s="7"/>
      <c r="W43" s="7"/>
      <c r="X43" s="7"/>
      <c r="Y43" s="7"/>
      <c r="Z43" s="7"/>
      <c r="AA43" s="7"/>
      <c r="AB43" s="7"/>
    </row>
    <row x14ac:dyDescent="0.25" r="44" customHeight="1" ht="18">
      <c r="A44" s="158">
        <v>38</v>
      </c>
      <c r="B44" s="117" t="s">
        <v>93</v>
      </c>
      <c r="C44" s="159"/>
      <c r="D44" s="160"/>
      <c r="E44" s="161"/>
      <c r="F44" s="161"/>
      <c r="G44" s="154"/>
      <c r="H44" s="154"/>
      <c r="I44" s="128"/>
      <c r="J44" s="111"/>
      <c r="K44" s="111"/>
      <c r="L44" s="155"/>
      <c r="M44" s="155"/>
      <c r="N44" s="155"/>
      <c r="O44" s="155"/>
      <c r="P44" s="155"/>
      <c r="Q44" s="155"/>
      <c r="R44" s="106"/>
      <c r="S44" s="7"/>
      <c r="T44" s="7"/>
      <c r="U44" s="7"/>
      <c r="V44" s="7"/>
      <c r="W44" s="7"/>
      <c r="X44" s="7"/>
      <c r="Y44" s="7"/>
      <c r="Z44" s="7"/>
      <c r="AA44" s="7"/>
      <c r="AB44" s="7"/>
    </row>
    <row x14ac:dyDescent="0.25" r="45" customHeight="1" ht="18">
      <c r="A45" s="157">
        <v>39</v>
      </c>
      <c r="B45" s="123" t="s">
        <v>94</v>
      </c>
      <c r="C45" s="162"/>
      <c r="D45" s="154"/>
      <c r="E45" s="155"/>
      <c r="F45" s="155"/>
      <c r="G45" s="154"/>
      <c r="H45" s="154"/>
      <c r="I45" s="128"/>
      <c r="J45" s="111"/>
      <c r="K45" s="111"/>
      <c r="L45" s="155"/>
      <c r="M45" s="155"/>
      <c r="N45" s="155"/>
      <c r="O45" s="155"/>
      <c r="P45" s="155"/>
      <c r="Q45" s="155"/>
      <c r="R45" s="106"/>
      <c r="S45" s="7"/>
      <c r="T45" s="7"/>
      <c r="U45" s="7"/>
      <c r="V45" s="7"/>
      <c r="W45" s="7"/>
      <c r="X45" s="7"/>
      <c r="Y45" s="7"/>
      <c r="Z45" s="7"/>
      <c r="AA45" s="7"/>
      <c r="AB45" s="7"/>
    </row>
    <row x14ac:dyDescent="0.25" r="46" customHeight="1" ht="18">
      <c r="A46" s="157">
        <v>40</v>
      </c>
      <c r="B46" s="123" t="s">
        <v>95</v>
      </c>
      <c r="C46" s="162"/>
      <c r="D46" s="154"/>
      <c r="E46" s="155"/>
      <c r="F46" s="155"/>
      <c r="G46" s="154"/>
      <c r="H46" s="154"/>
      <c r="I46" s="128"/>
      <c r="J46" s="111"/>
      <c r="K46" s="111"/>
      <c r="L46" s="155"/>
      <c r="M46" s="155"/>
      <c r="N46" s="155"/>
      <c r="O46" s="155"/>
      <c r="P46" s="155"/>
      <c r="Q46" s="155"/>
      <c r="R46" s="106"/>
      <c r="S46" s="7"/>
      <c r="T46" s="7"/>
      <c r="U46" s="7"/>
      <c r="V46" s="7"/>
      <c r="W46" s="7"/>
      <c r="X46" s="7"/>
      <c r="Y46" s="7"/>
      <c r="Z46" s="7"/>
      <c r="AA46" s="7"/>
      <c r="AB46" s="7"/>
    </row>
    <row x14ac:dyDescent="0.25" r="47" customHeight="1" ht="18">
      <c r="A47" s="163" t="s">
        <v>125</v>
      </c>
      <c r="B47" s="102">
        <v>6</v>
      </c>
      <c r="C47" s="103"/>
      <c r="D47" s="104"/>
      <c r="E47" s="105"/>
      <c r="F47" s="105"/>
      <c r="G47" s="104"/>
      <c r="H47" s="104"/>
      <c r="I47" s="105"/>
      <c r="J47" s="105"/>
      <c r="K47" s="105"/>
      <c r="L47" s="105"/>
      <c r="M47" s="105"/>
      <c r="N47" s="105"/>
      <c r="O47" s="105"/>
      <c r="P47" s="105"/>
      <c r="Q47" s="105"/>
      <c r="R47" s="106"/>
      <c r="S47" s="7"/>
      <c r="T47" s="7"/>
      <c r="U47" s="7"/>
      <c r="V47" s="7"/>
      <c r="W47" s="7"/>
      <c r="X47" s="7"/>
      <c r="Y47" s="7"/>
      <c r="Z47" s="7"/>
      <c r="AA47" s="7"/>
      <c r="AB47" s="7"/>
    </row>
    <row x14ac:dyDescent="0.25" r="48" customHeight="1" ht="18">
      <c r="A48" s="164">
        <v>41</v>
      </c>
      <c r="B48" s="115" t="s">
        <v>84</v>
      </c>
      <c r="C48" s="165" t="s">
        <v>126</v>
      </c>
      <c r="D48" s="166"/>
      <c r="E48" s="167"/>
      <c r="F48" s="167"/>
      <c r="G48" s="166"/>
      <c r="H48" s="166"/>
      <c r="I48" s="145"/>
      <c r="J48" s="145"/>
      <c r="K48" s="145"/>
      <c r="L48" s="145"/>
      <c r="M48" s="145"/>
      <c r="N48" s="167"/>
      <c r="O48" s="167"/>
      <c r="P48" s="167"/>
      <c r="Q48" s="167"/>
      <c r="R48" s="149" t="s">
        <v>127</v>
      </c>
      <c r="S48" s="7"/>
      <c r="T48" s="7"/>
      <c r="U48" s="7"/>
      <c r="V48" s="7"/>
      <c r="W48" s="7"/>
      <c r="X48" s="7"/>
      <c r="Y48" s="7"/>
      <c r="Z48" s="7"/>
      <c r="AA48" s="7"/>
      <c r="AB48" s="7"/>
    </row>
    <row x14ac:dyDescent="0.25" r="49" customHeight="1" ht="18">
      <c r="A49" s="157">
        <v>42</v>
      </c>
      <c r="B49" s="115" t="s">
        <v>85</v>
      </c>
      <c r="C49" s="168"/>
      <c r="D49" s="154"/>
      <c r="E49" s="155"/>
      <c r="F49" s="155"/>
      <c r="G49" s="154"/>
      <c r="H49" s="154"/>
      <c r="I49" s="111"/>
      <c r="J49" s="111"/>
      <c r="K49" s="111"/>
      <c r="L49" s="111"/>
      <c r="M49" s="111"/>
      <c r="N49" s="155"/>
      <c r="O49" s="155"/>
      <c r="P49" s="155"/>
      <c r="Q49" s="155"/>
      <c r="R49" s="106"/>
      <c r="S49" s="7"/>
      <c r="T49" s="7"/>
      <c r="U49" s="7"/>
      <c r="V49" s="7"/>
      <c r="W49" s="7"/>
      <c r="X49" s="7"/>
      <c r="Y49" s="7"/>
      <c r="Z49" s="7"/>
      <c r="AA49" s="7"/>
      <c r="AB49" s="7"/>
    </row>
    <row x14ac:dyDescent="0.25" r="50" customHeight="1" ht="18">
      <c r="A50" s="157">
        <v>43</v>
      </c>
      <c r="B50" s="115" t="s">
        <v>87</v>
      </c>
      <c r="C50" s="168"/>
      <c r="D50" s="154"/>
      <c r="E50" s="155"/>
      <c r="F50" s="155"/>
      <c r="G50" s="154"/>
      <c r="H50" s="154"/>
      <c r="I50" s="111"/>
      <c r="J50" s="111"/>
      <c r="K50" s="111"/>
      <c r="L50" s="111"/>
      <c r="M50" s="111"/>
      <c r="N50" s="155"/>
      <c r="O50" s="155"/>
      <c r="P50" s="155"/>
      <c r="Q50" s="155"/>
      <c r="R50" s="106"/>
      <c r="S50" s="7"/>
      <c r="T50" s="7"/>
      <c r="U50" s="7"/>
      <c r="V50" s="7"/>
      <c r="W50" s="7"/>
      <c r="X50" s="7"/>
      <c r="Y50" s="7"/>
      <c r="Z50" s="7"/>
      <c r="AA50" s="7"/>
      <c r="AB50" s="7"/>
    </row>
    <row x14ac:dyDescent="0.25" r="51" customHeight="1" ht="18">
      <c r="A51" s="157">
        <v>44</v>
      </c>
      <c r="B51" s="115" t="s">
        <v>89</v>
      </c>
      <c r="C51" s="90" t="s">
        <v>128</v>
      </c>
      <c r="D51" s="154"/>
      <c r="E51" s="155"/>
      <c r="F51" s="12">
        <v>8500</v>
      </c>
      <c r="G51" s="154"/>
      <c r="H51" s="154"/>
      <c r="I51" s="111"/>
      <c r="J51" s="111"/>
      <c r="K51" s="111"/>
      <c r="L51" s="111"/>
      <c r="M51" s="111"/>
      <c r="N51" s="155"/>
      <c r="O51" s="155"/>
      <c r="P51" s="155"/>
      <c r="Q51" s="155"/>
      <c r="R51" s="106"/>
      <c r="S51" s="7"/>
      <c r="T51" s="7"/>
      <c r="U51" s="7"/>
      <c r="V51" s="7"/>
      <c r="W51" s="7"/>
      <c r="X51" s="7"/>
      <c r="Y51" s="7"/>
      <c r="Z51" s="7"/>
      <c r="AA51" s="7"/>
      <c r="AB51" s="7"/>
    </row>
    <row x14ac:dyDescent="0.25" r="52" customHeight="1" ht="18">
      <c r="A52" s="157">
        <v>45</v>
      </c>
      <c r="B52" s="115" t="s">
        <v>91</v>
      </c>
      <c r="C52" s="90" t="s">
        <v>129</v>
      </c>
      <c r="D52" s="154"/>
      <c r="E52" s="155"/>
      <c r="F52" s="12">
        <v>8500</v>
      </c>
      <c r="G52" s="154"/>
      <c r="H52" s="154"/>
      <c r="I52" s="111"/>
      <c r="J52" s="111"/>
      <c r="K52" s="111"/>
      <c r="L52" s="111"/>
      <c r="M52" s="111"/>
      <c r="N52" s="155"/>
      <c r="O52" s="155"/>
      <c r="P52" s="155"/>
      <c r="Q52" s="155"/>
      <c r="R52" s="106"/>
      <c r="S52" s="7"/>
      <c r="T52" s="7"/>
      <c r="U52" s="7"/>
      <c r="V52" s="7"/>
      <c r="W52" s="7"/>
      <c r="X52" s="7"/>
      <c r="Y52" s="7"/>
      <c r="Z52" s="7"/>
      <c r="AA52" s="7"/>
      <c r="AB52" s="7"/>
    </row>
    <row x14ac:dyDescent="0.25" r="53" customHeight="1" ht="18">
      <c r="A53" s="157">
        <v>46</v>
      </c>
      <c r="B53" s="115" t="s">
        <v>93</v>
      </c>
      <c r="C53" s="90" t="s">
        <v>130</v>
      </c>
      <c r="D53" s="154"/>
      <c r="E53" s="155"/>
      <c r="F53" s="12">
        <v>6000</v>
      </c>
      <c r="G53" s="154"/>
      <c r="H53" s="154"/>
      <c r="I53" s="128"/>
      <c r="J53" s="111"/>
      <c r="K53" s="111"/>
      <c r="L53" s="155"/>
      <c r="M53" s="155"/>
      <c r="N53" s="155"/>
      <c r="O53" s="155"/>
      <c r="P53" s="155"/>
      <c r="Q53" s="155"/>
      <c r="R53" s="106"/>
      <c r="S53" s="7"/>
      <c r="T53" s="7"/>
      <c r="U53" s="7"/>
      <c r="V53" s="7"/>
      <c r="W53" s="7"/>
      <c r="X53" s="7"/>
      <c r="Y53" s="7"/>
      <c r="Z53" s="7"/>
      <c r="AA53" s="7"/>
      <c r="AB53" s="7"/>
    </row>
    <row x14ac:dyDescent="0.25" r="54" customHeight="1" ht="18">
      <c r="A54" s="157">
        <v>47</v>
      </c>
      <c r="B54" s="123" t="s">
        <v>131</v>
      </c>
      <c r="C54" s="162"/>
      <c r="D54" s="154"/>
      <c r="E54" s="155"/>
      <c r="F54" s="155"/>
      <c r="G54" s="154"/>
      <c r="H54" s="154"/>
      <c r="I54" s="128"/>
      <c r="J54" s="111"/>
      <c r="K54" s="111"/>
      <c r="L54" s="155"/>
      <c r="M54" s="155"/>
      <c r="N54" s="155"/>
      <c r="O54" s="155"/>
      <c r="P54" s="155"/>
      <c r="Q54" s="155"/>
      <c r="R54" s="106"/>
      <c r="S54" s="7"/>
      <c r="T54" s="7"/>
      <c r="U54" s="7"/>
      <c r="V54" s="7"/>
      <c r="W54" s="7"/>
      <c r="X54" s="7"/>
      <c r="Y54" s="7"/>
      <c r="Z54" s="7"/>
      <c r="AA54" s="7"/>
      <c r="AB54" s="7"/>
    </row>
    <row x14ac:dyDescent="0.25" r="55" customHeight="1" ht="18">
      <c r="A55" s="157">
        <v>48</v>
      </c>
      <c r="B55" s="123" t="s">
        <v>132</v>
      </c>
      <c r="C55" s="162"/>
      <c r="D55" s="154"/>
      <c r="E55" s="155"/>
      <c r="F55" s="155"/>
      <c r="G55" s="154"/>
      <c r="H55" s="154"/>
      <c r="I55" s="128"/>
      <c r="J55" s="128"/>
      <c r="K55" s="128"/>
      <c r="L55" s="128"/>
      <c r="M55" s="128"/>
      <c r="N55" s="128"/>
      <c r="O55" s="128"/>
      <c r="P55" s="128"/>
      <c r="Q55" s="128"/>
      <c r="R55" s="106"/>
      <c r="S55" s="7"/>
      <c r="T55" s="7"/>
      <c r="U55" s="7"/>
      <c r="V55" s="7"/>
      <c r="W55" s="7"/>
      <c r="X55" s="7"/>
      <c r="Y55" s="7"/>
      <c r="Z55" s="7"/>
      <c r="AA55" s="7"/>
      <c r="AB55" s="7"/>
    </row>
    <row x14ac:dyDescent="0.25" r="56" customHeight="1" ht="18">
      <c r="A56" s="169"/>
      <c r="B56" s="170"/>
      <c r="C56" s="171">
        <v>30</v>
      </c>
      <c r="D56" s="172"/>
      <c r="E56" s="173">
        <f>SUM(E2:E55)</f>
      </c>
      <c r="F56" s="173">
        <f>SUM(F3:F55)</f>
      </c>
      <c r="G56" s="172"/>
      <c r="H56" s="172"/>
      <c r="I56" s="173">
        <f>SUM(I2:I55)</f>
      </c>
      <c r="J56" s="173">
        <f>SUM(J3:J55)</f>
      </c>
      <c r="K56" s="173">
        <f>SUM(K3:K55)</f>
      </c>
      <c r="L56" s="173">
        <f>SUM(L3:L55)</f>
      </c>
      <c r="M56" s="173">
        <f>SUM(M3:M55)</f>
      </c>
      <c r="N56" s="173">
        <f>SUM(N3:N55)</f>
      </c>
      <c r="O56" s="173">
        <f>SUM(O3:O55)</f>
      </c>
      <c r="P56" s="173">
        <f>SUM(P3:P55)</f>
      </c>
      <c r="Q56" s="173">
        <f>SUM(Q3:Q55)</f>
      </c>
      <c r="R56" s="106"/>
      <c r="S56" s="7"/>
      <c r="T56" s="7"/>
      <c r="U56" s="7"/>
      <c r="V56" s="7"/>
      <c r="W56" s="7"/>
      <c r="X56" s="7"/>
      <c r="Y56" s="7"/>
      <c r="Z56" s="7"/>
      <c r="AA56" s="7"/>
      <c r="AB56" s="7"/>
    </row>
    <row x14ac:dyDescent="0.25" r="57" customHeight="1" ht="18">
      <c r="A57" s="11"/>
      <c r="B57" s="141"/>
      <c r="C57" s="141"/>
      <c r="D57" s="106"/>
      <c r="E57" s="141"/>
      <c r="F57" s="141"/>
      <c r="G57" s="106"/>
      <c r="H57" s="106"/>
      <c r="I57" s="141"/>
      <c r="J57" s="141"/>
      <c r="K57" s="141"/>
      <c r="L57" s="141"/>
      <c r="M57" s="141"/>
      <c r="N57" s="141"/>
      <c r="O57" s="141"/>
      <c r="P57" s="141"/>
      <c r="Q57" s="141"/>
      <c r="R57" s="106"/>
      <c r="S57" s="7"/>
      <c r="T57" s="7"/>
      <c r="U57" s="7"/>
      <c r="V57" s="7"/>
      <c r="W57" s="7"/>
      <c r="X57" s="7"/>
      <c r="Y57" s="7"/>
      <c r="Z57" s="7"/>
      <c r="AA57" s="7"/>
      <c r="AB57" s="7"/>
    </row>
    <row x14ac:dyDescent="0.25" r="58" customHeight="1" ht="18">
      <c r="A58" s="141"/>
      <c r="B58" s="141"/>
      <c r="C58" s="141"/>
      <c r="D58" s="106"/>
      <c r="E58" s="141"/>
      <c r="F58" s="141"/>
      <c r="G58" s="106"/>
      <c r="H58" s="106"/>
      <c r="I58" s="141"/>
      <c r="J58" s="141"/>
      <c r="K58" s="141"/>
      <c r="L58" s="141"/>
      <c r="M58" s="141"/>
      <c r="N58" s="141"/>
      <c r="O58" s="141"/>
      <c r="P58" s="141"/>
      <c r="Q58" s="141"/>
      <c r="R58" s="106"/>
      <c r="S58" s="7"/>
      <c r="T58" s="7"/>
      <c r="U58" s="7"/>
      <c r="V58" s="7"/>
      <c r="W58" s="7"/>
      <c r="X58" s="7"/>
      <c r="Y58" s="7"/>
      <c r="Z58" s="7"/>
      <c r="AA58" s="7"/>
      <c r="AB58" s="7"/>
    </row>
    <row x14ac:dyDescent="0.25" r="59" customHeight="1" ht="18">
      <c r="A59" s="141"/>
      <c r="B59" s="141"/>
      <c r="C59" s="141"/>
      <c r="D59" s="106"/>
      <c r="E59" s="141"/>
      <c r="F59" s="141"/>
      <c r="G59" s="106"/>
      <c r="H59" s="106"/>
      <c r="I59" s="141"/>
      <c r="J59" s="141"/>
      <c r="K59" s="141"/>
      <c r="L59" s="141"/>
      <c r="M59" s="141"/>
      <c r="N59" s="141"/>
      <c r="O59" s="141"/>
      <c r="P59" s="141"/>
      <c r="Q59" s="141"/>
      <c r="R59" s="130"/>
      <c r="S59" s="7"/>
      <c r="T59" s="7"/>
      <c r="U59" s="7"/>
      <c r="V59" s="7"/>
      <c r="W59" s="7"/>
      <c r="X59" s="7"/>
      <c r="Y59" s="7"/>
      <c r="Z59" s="7"/>
      <c r="AA59" s="7"/>
      <c r="AB59" s="7"/>
    </row>
    <row x14ac:dyDescent="0.25" r="60" customHeight="1" ht="18">
      <c r="A60" s="141"/>
      <c r="B60" s="141"/>
      <c r="C60" s="141"/>
      <c r="D60" s="106"/>
      <c r="E60" s="141"/>
      <c r="F60" s="141"/>
      <c r="G60" s="106"/>
      <c r="H60" s="106"/>
      <c r="I60" s="141"/>
      <c r="J60" s="141"/>
      <c r="K60" s="141"/>
      <c r="L60" s="141"/>
      <c r="M60" s="141"/>
      <c r="N60" s="141"/>
      <c r="O60" s="141"/>
      <c r="P60" s="141"/>
      <c r="Q60" s="174"/>
      <c r="R60" s="106"/>
      <c r="S60" s="7"/>
      <c r="T60" s="7"/>
      <c r="U60" s="7"/>
      <c r="V60" s="7"/>
      <c r="W60" s="7"/>
      <c r="X60" s="7"/>
      <c r="Y60" s="7"/>
      <c r="Z60" s="7"/>
      <c r="AA60" s="7"/>
      <c r="AB60" s="7"/>
    </row>
    <row x14ac:dyDescent="0.25" r="61" customHeight="1" ht="18">
      <c r="A61" s="141"/>
      <c r="B61" s="141"/>
      <c r="C61" s="141"/>
      <c r="D61" s="106"/>
      <c r="E61" s="141"/>
      <c r="F61" s="141"/>
      <c r="G61" s="106"/>
      <c r="H61" s="106"/>
      <c r="I61" s="141"/>
      <c r="J61" s="141"/>
      <c r="K61" s="141"/>
      <c r="L61" s="141"/>
      <c r="M61" s="141"/>
      <c r="N61" s="141"/>
      <c r="O61" s="141"/>
      <c r="P61" s="141"/>
      <c r="Q61" s="174"/>
      <c r="R61" s="10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</row>
    <row x14ac:dyDescent="0.25" r="62" customHeight="1" ht="18">
      <c r="A62" s="141"/>
      <c r="B62" s="141"/>
      <c r="C62" s="141"/>
      <c r="D62" s="106"/>
      <c r="E62" s="141"/>
      <c r="F62" s="141"/>
      <c r="G62" s="106"/>
      <c r="H62" s="106"/>
      <c r="I62" s="141"/>
      <c r="J62" s="141"/>
      <c r="K62" s="141"/>
      <c r="L62" s="141"/>
      <c r="M62" s="141"/>
      <c r="N62" s="141"/>
      <c r="O62" s="141"/>
      <c r="P62" s="141"/>
      <c r="Q62" s="174"/>
      <c r="R62" s="106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</row>
    <row x14ac:dyDescent="0.25" r="63" customHeight="1" ht="18">
      <c r="A63" s="141"/>
      <c r="B63" s="141"/>
      <c r="C63" s="141"/>
      <c r="D63" s="106"/>
      <c r="E63" s="141"/>
      <c r="F63" s="141"/>
      <c r="G63" s="106"/>
      <c r="H63" s="106"/>
      <c r="I63" s="141"/>
      <c r="J63" s="141"/>
      <c r="K63" s="141"/>
      <c r="L63" s="141"/>
      <c r="M63" s="141"/>
      <c r="N63" s="141"/>
      <c r="O63" s="141"/>
      <c r="P63" s="141"/>
      <c r="Q63" s="174"/>
      <c r="R63" s="106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</row>
    <row x14ac:dyDescent="0.25" r="64" customHeight="1" ht="15.75">
      <c r="A64" s="141"/>
      <c r="B64" s="141"/>
      <c r="C64" s="141"/>
      <c r="D64" s="106"/>
      <c r="E64" s="141"/>
      <c r="F64" s="141"/>
      <c r="G64" s="106"/>
      <c r="H64" s="106"/>
      <c r="I64" s="141"/>
      <c r="J64" s="141"/>
      <c r="K64" s="141"/>
      <c r="L64" s="141"/>
      <c r="M64" s="141"/>
      <c r="N64" s="141"/>
      <c r="O64" s="141"/>
      <c r="P64" s="141"/>
      <c r="Q64" s="174"/>
      <c r="R64" s="14"/>
      <c r="S64" s="7"/>
      <c r="T64" s="7"/>
      <c r="U64" s="7"/>
      <c r="V64" s="7"/>
      <c r="W64" s="7"/>
      <c r="X64" s="7"/>
      <c r="Y64" s="7"/>
      <c r="Z64" s="7"/>
      <c r="AA64" s="7"/>
      <c r="AB64" s="7"/>
    </row>
    <row x14ac:dyDescent="0.25" r="65" customHeight="1" ht="18">
      <c r="A65" s="141"/>
      <c r="B65" s="141"/>
      <c r="C65" s="141"/>
      <c r="D65" s="106"/>
      <c r="E65" s="141"/>
      <c r="F65" s="141"/>
      <c r="G65" s="106"/>
      <c r="H65" s="106"/>
      <c r="I65" s="141"/>
      <c r="J65" s="141"/>
      <c r="K65" s="141"/>
      <c r="L65" s="141"/>
      <c r="M65" s="141"/>
      <c r="N65" s="141"/>
      <c r="O65" s="141"/>
      <c r="P65" s="141"/>
      <c r="Q65" s="174"/>
      <c r="R65" s="14"/>
      <c r="S65" s="7"/>
      <c r="T65" s="7"/>
      <c r="U65" s="7"/>
      <c r="V65" s="7"/>
      <c r="W65" s="7"/>
      <c r="X65" s="7"/>
      <c r="Y65" s="7"/>
      <c r="Z65" s="7"/>
      <c r="AA65" s="7"/>
      <c r="AB65" s="7"/>
    </row>
    <row x14ac:dyDescent="0.25" r="66" customHeight="1" ht="15.75">
      <c r="A66" s="141"/>
      <c r="B66" s="141"/>
      <c r="C66" s="141"/>
      <c r="D66" s="106"/>
      <c r="E66" s="141"/>
      <c r="F66" s="141"/>
      <c r="G66" s="106"/>
      <c r="H66" s="106"/>
      <c r="I66" s="141"/>
      <c r="J66" s="141"/>
      <c r="K66" s="141"/>
      <c r="L66" s="141"/>
      <c r="M66" s="141"/>
      <c r="N66" s="141"/>
      <c r="O66" s="141"/>
      <c r="P66" s="141"/>
      <c r="Q66" s="174"/>
      <c r="R66" s="14"/>
      <c r="S66" s="7"/>
      <c r="T66" s="7"/>
      <c r="U66" s="7"/>
      <c r="V66" s="7"/>
      <c r="W66" s="7"/>
      <c r="X66" s="7"/>
      <c r="Y66" s="7"/>
      <c r="Z66" s="7"/>
      <c r="AA66" s="7"/>
      <c r="AB66" s="7"/>
    </row>
    <row x14ac:dyDescent="0.25" r="67" customHeight="1" ht="15.75">
      <c r="A67" s="141"/>
      <c r="B67" s="141"/>
      <c r="C67" s="141"/>
      <c r="D67" s="106"/>
      <c r="E67" s="141"/>
      <c r="F67" s="141"/>
      <c r="G67" s="106"/>
      <c r="H67" s="106"/>
      <c r="I67" s="141"/>
      <c r="J67" s="141"/>
      <c r="K67" s="141"/>
      <c r="L67" s="141"/>
      <c r="M67" s="141"/>
      <c r="N67" s="141"/>
      <c r="O67" s="141"/>
      <c r="P67" s="141"/>
      <c r="Q67" s="174"/>
      <c r="R67" s="14"/>
      <c r="S67" s="7"/>
      <c r="T67" s="7"/>
      <c r="U67" s="7"/>
      <c r="V67" s="7"/>
      <c r="W67" s="7"/>
      <c r="X67" s="7"/>
      <c r="Y67" s="7"/>
      <c r="Z67" s="7"/>
      <c r="AA67" s="7"/>
      <c r="AB67" s="7"/>
    </row>
    <row x14ac:dyDescent="0.25" r="68" customHeight="1" ht="15.75">
      <c r="A68" s="141"/>
      <c r="B68" s="141"/>
      <c r="C68" s="141"/>
      <c r="D68" s="106"/>
      <c r="E68" s="141"/>
      <c r="F68" s="141"/>
      <c r="G68" s="106"/>
      <c r="H68" s="106"/>
      <c r="I68" s="141"/>
      <c r="J68" s="141"/>
      <c r="K68" s="141"/>
      <c r="L68" s="141"/>
      <c r="M68" s="141"/>
      <c r="N68" s="141"/>
      <c r="O68" s="141"/>
      <c r="P68" s="141"/>
      <c r="Q68" s="174"/>
      <c r="R68" s="14"/>
      <c r="S68" s="7"/>
      <c r="T68" s="7"/>
      <c r="U68" s="7"/>
      <c r="V68" s="7"/>
      <c r="W68" s="7"/>
      <c r="X68" s="7"/>
      <c r="Y68" s="7"/>
      <c r="Z68" s="7"/>
      <c r="AA68" s="7"/>
      <c r="AB68" s="7"/>
    </row>
    <row x14ac:dyDescent="0.25" r="69" customHeight="1" ht="15.75">
      <c r="A69" s="141"/>
      <c r="B69" s="141"/>
      <c r="C69" s="141"/>
      <c r="D69" s="106"/>
      <c r="E69" s="141"/>
      <c r="F69" s="141"/>
      <c r="G69" s="106"/>
      <c r="H69" s="106"/>
      <c r="I69" s="141"/>
      <c r="J69" s="141"/>
      <c r="K69" s="141"/>
      <c r="L69" s="141"/>
      <c r="M69" s="141"/>
      <c r="N69" s="141"/>
      <c r="O69" s="141"/>
      <c r="P69" s="141"/>
      <c r="Q69" s="174"/>
      <c r="R69" s="14"/>
      <c r="S69" s="7"/>
      <c r="T69" s="7"/>
      <c r="U69" s="7"/>
      <c r="V69" s="7"/>
      <c r="W69" s="7"/>
      <c r="X69" s="7"/>
      <c r="Y69" s="7"/>
      <c r="Z69" s="7"/>
      <c r="AA69" s="7"/>
      <c r="AB69" s="7"/>
    </row>
    <row x14ac:dyDescent="0.25" r="70" customHeight="1" ht="15.75">
      <c r="A70" s="141"/>
      <c r="B70" s="141"/>
      <c r="C70" s="141"/>
      <c r="D70" s="106"/>
      <c r="E70" s="141"/>
      <c r="F70" s="141"/>
      <c r="G70" s="106"/>
      <c r="H70" s="106"/>
      <c r="I70" s="141"/>
      <c r="J70" s="141"/>
      <c r="K70" s="141"/>
      <c r="L70" s="141"/>
      <c r="M70" s="141"/>
      <c r="N70" s="141"/>
      <c r="O70" s="141"/>
      <c r="P70" s="141"/>
      <c r="Q70" s="174"/>
      <c r="R70" s="14"/>
      <c r="S70" s="7"/>
      <c r="T70" s="7"/>
      <c r="U70" s="7"/>
      <c r="V70" s="7"/>
      <c r="W70" s="7"/>
      <c r="X70" s="7"/>
      <c r="Y70" s="7"/>
      <c r="Z70" s="7"/>
      <c r="AA70" s="7"/>
      <c r="AB70" s="7"/>
    </row>
    <row x14ac:dyDescent="0.25" r="71" customHeight="1" ht="15.75">
      <c r="A71" s="141"/>
      <c r="B71" s="141"/>
      <c r="C71" s="141"/>
      <c r="D71" s="106"/>
      <c r="E71" s="141"/>
      <c r="F71" s="141"/>
      <c r="G71" s="106"/>
      <c r="H71" s="106"/>
      <c r="I71" s="141"/>
      <c r="J71" s="141"/>
      <c r="K71" s="141"/>
      <c r="L71" s="141"/>
      <c r="M71" s="141"/>
      <c r="N71" s="141"/>
      <c r="O71" s="141"/>
      <c r="P71" s="141"/>
      <c r="Q71" s="174"/>
      <c r="R71" s="14"/>
      <c r="S71" s="7"/>
      <c r="T71" s="7"/>
      <c r="U71" s="7"/>
      <c r="V71" s="7"/>
      <c r="W71" s="7"/>
      <c r="X71" s="7"/>
      <c r="Y71" s="7"/>
      <c r="Z71" s="7"/>
      <c r="AA71" s="7"/>
      <c r="AB71" s="7"/>
    </row>
    <row x14ac:dyDescent="0.25" r="72" customHeight="1" ht="15.75">
      <c r="A72" s="141"/>
      <c r="B72" s="141"/>
      <c r="C72" s="141"/>
      <c r="D72" s="106"/>
      <c r="E72" s="141"/>
      <c r="F72" s="141"/>
      <c r="G72" s="106"/>
      <c r="H72" s="106"/>
      <c r="I72" s="141"/>
      <c r="J72" s="141"/>
      <c r="K72" s="141"/>
      <c r="L72" s="141"/>
      <c r="M72" s="141"/>
      <c r="N72" s="141"/>
      <c r="O72" s="141"/>
      <c r="P72" s="141"/>
      <c r="Q72" s="174"/>
      <c r="R72" s="14"/>
      <c r="S72" s="7"/>
      <c r="T72" s="7"/>
      <c r="U72" s="7"/>
      <c r="V72" s="7"/>
      <c r="W72" s="7"/>
      <c r="X72" s="7"/>
      <c r="Y72" s="7"/>
      <c r="Z72" s="7"/>
      <c r="AA72" s="7"/>
      <c r="AB72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"/>
  <sheetViews>
    <sheetView workbookViewId="0"/>
  </sheetViews>
  <sheetFormatPr defaultRowHeight="15" x14ac:dyDescent="0.25"/>
  <cols>
    <col min="1" max="1" style="79" width="22.576428571428572" customWidth="1" bestFit="1"/>
    <col min="2" max="2" style="16" width="26.862142857142857" customWidth="1" bestFit="1"/>
    <col min="3" max="3" style="17" width="26.862142857142857" customWidth="1" bestFit="1"/>
    <col min="4" max="4" style="16" width="18.290714285714284" customWidth="1" bestFit="1"/>
    <col min="5" max="5" style="17" width="25.433571428571426" customWidth="1" bestFit="1"/>
    <col min="6" max="6" style="17" width="18.005" customWidth="1" bestFit="1"/>
    <col min="7" max="7" style="17" width="28.005" customWidth="1" bestFit="1"/>
  </cols>
  <sheetData>
    <row x14ac:dyDescent="0.25" r="1" customHeight="1" ht="18">
      <c r="A1" s="81" t="s">
        <v>51</v>
      </c>
      <c r="B1" s="82" t="s">
        <v>57</v>
      </c>
      <c r="C1" s="83" t="s">
        <v>58</v>
      </c>
      <c r="D1" s="84" t="s">
        <v>59</v>
      </c>
      <c r="E1" s="85" t="s">
        <v>60</v>
      </c>
      <c r="F1" s="86" t="s">
        <v>61</v>
      </c>
      <c r="G1" s="86" t="s">
        <v>62</v>
      </c>
    </row>
    <row x14ac:dyDescent="0.25" r="2" customHeight="1" ht="18">
      <c r="A2" s="40">
        <v>45870</v>
      </c>
      <c r="B2" s="3" t="s">
        <v>63</v>
      </c>
      <c r="C2" s="41">
        <v>3000</v>
      </c>
      <c r="D2" s="87" t="s">
        <v>64</v>
      </c>
      <c r="E2" s="12">
        <v>200</v>
      </c>
      <c r="F2" s="88">
        <f>C2+E2</f>
      </c>
      <c r="G2" s="88">
        <v>4770</v>
      </c>
    </row>
    <row x14ac:dyDescent="0.25" r="3" customHeight="1" ht="18">
      <c r="A3" s="40">
        <v>45870</v>
      </c>
      <c r="B3" s="3" t="s">
        <v>65</v>
      </c>
      <c r="C3" s="41">
        <v>270</v>
      </c>
      <c r="D3" s="87" t="s">
        <v>66</v>
      </c>
      <c r="E3" s="12">
        <v>1000</v>
      </c>
      <c r="F3" s="88">
        <f>C3+E3</f>
      </c>
      <c r="G3" s="88">
        <v>4770</v>
      </c>
    </row>
    <row x14ac:dyDescent="0.25" r="4" customHeight="1" ht="18">
      <c r="A4" s="40">
        <v>45870</v>
      </c>
      <c r="B4" s="3" t="s">
        <v>67</v>
      </c>
      <c r="C4" s="41">
        <v>100</v>
      </c>
      <c r="D4" s="87" t="s">
        <v>68</v>
      </c>
      <c r="E4" s="12">
        <v>200</v>
      </c>
      <c r="F4" s="88">
        <f>C4+E4</f>
      </c>
      <c r="G4" s="88">
        <v>4770</v>
      </c>
    </row>
    <row x14ac:dyDescent="0.25" r="5" customHeight="1" ht="18">
      <c r="A5" s="89">
        <v>45871</v>
      </c>
      <c r="B5" s="3" t="s">
        <v>69</v>
      </c>
      <c r="C5" s="41">
        <v>4000</v>
      </c>
      <c r="D5" s="87" t="s">
        <v>70</v>
      </c>
      <c r="E5" s="12">
        <v>500</v>
      </c>
      <c r="F5" s="88">
        <f>C5+E5</f>
      </c>
      <c r="G5" s="88">
        <v>4500</v>
      </c>
    </row>
    <row x14ac:dyDescent="0.25" r="6" customHeight="1" ht="18">
      <c r="A6" s="40"/>
      <c r="B6" s="3"/>
      <c r="C6" s="41"/>
      <c r="D6" s="87"/>
      <c r="E6" s="12"/>
      <c r="F6" s="90"/>
      <c r="G6" s="15"/>
    </row>
    <row x14ac:dyDescent="0.25" r="7" customHeight="1" ht="18">
      <c r="A7" s="51"/>
      <c r="B7" s="91"/>
      <c r="C7" s="50"/>
      <c r="D7" s="92"/>
      <c r="E7" s="12"/>
      <c r="F7" s="93"/>
      <c r="G7" s="15"/>
    </row>
    <row x14ac:dyDescent="0.25" r="8" customHeight="1" ht="18">
      <c r="A8" s="57"/>
      <c r="B8" s="14"/>
      <c r="C8" s="15"/>
      <c r="D8" s="94"/>
      <c r="E8" s="15"/>
      <c r="F8" s="95"/>
      <c r="G8" s="15"/>
    </row>
    <row x14ac:dyDescent="0.25" r="9" customHeight="1" ht="18">
      <c r="A9" s="57"/>
      <c r="B9" s="14"/>
      <c r="C9" s="15"/>
      <c r="D9" s="14"/>
      <c r="E9" s="15"/>
      <c r="F9" s="15"/>
      <c r="G9" s="15"/>
    </row>
    <row x14ac:dyDescent="0.25" r="10" customHeight="1" ht="18">
      <c r="A10" s="57"/>
      <c r="B10" s="14"/>
      <c r="C10" s="15"/>
      <c r="D10" s="14"/>
      <c r="E10" s="15"/>
      <c r="F10" s="15"/>
      <c r="G10" s="15"/>
    </row>
    <row x14ac:dyDescent="0.25" r="11" customHeight="1" ht="18">
      <c r="A11" s="57"/>
      <c r="B11" s="14"/>
      <c r="C11" s="15"/>
      <c r="D11" s="14"/>
      <c r="E11" s="15"/>
      <c r="F11" s="15"/>
      <c r="G11" s="15"/>
    </row>
    <row x14ac:dyDescent="0.25" r="12" customHeight="1" ht="18">
      <c r="A12" s="57"/>
      <c r="B12" s="14"/>
      <c r="C12" s="15"/>
      <c r="D12" s="14"/>
      <c r="E12" s="15"/>
      <c r="F12" s="15"/>
      <c r="G12" s="15"/>
    </row>
    <row x14ac:dyDescent="0.25" r="13" customHeight="1" ht="18">
      <c r="A13" s="57"/>
      <c r="B13" s="14"/>
      <c r="C13" s="15"/>
      <c r="D13" s="14"/>
      <c r="E13" s="15"/>
      <c r="F13" s="15"/>
      <c r="G13" s="15"/>
    </row>
    <row x14ac:dyDescent="0.25" r="14" customHeight="1" ht="18">
      <c r="A14" s="57"/>
      <c r="B14" s="14"/>
      <c r="C14" s="15"/>
      <c r="D14" s="14"/>
      <c r="E14" s="15"/>
      <c r="F14" s="15"/>
      <c r="G14" s="15"/>
    </row>
    <row x14ac:dyDescent="0.25" r="15" customHeight="1" ht="18">
      <c r="A15" s="57"/>
      <c r="B15" s="14"/>
      <c r="C15" s="15"/>
      <c r="D15" s="14"/>
      <c r="E15" s="15"/>
      <c r="F15" s="15"/>
      <c r="G15" s="15"/>
    </row>
    <row x14ac:dyDescent="0.25" r="16" customHeight="1" ht="18">
      <c r="A16" s="57"/>
      <c r="B16" s="14"/>
      <c r="C16" s="15"/>
      <c r="D16" s="14"/>
      <c r="E16" s="15"/>
      <c r="F16" s="15"/>
      <c r="G16" s="15"/>
    </row>
    <row x14ac:dyDescent="0.25" r="17" customHeight="1" ht="18">
      <c r="A17" s="57"/>
      <c r="B17" s="14"/>
      <c r="C17" s="15"/>
      <c r="D17" s="14"/>
      <c r="E17" s="15"/>
      <c r="F17" s="15"/>
      <c r="G17" s="15"/>
    </row>
    <row x14ac:dyDescent="0.25" r="18" customHeight="1" ht="18">
      <c r="A18" s="57"/>
      <c r="B18" s="14"/>
      <c r="C18" s="15"/>
      <c r="D18" s="14"/>
      <c r="E18" s="15"/>
      <c r="F18" s="15"/>
      <c r="G18" s="15"/>
    </row>
    <row x14ac:dyDescent="0.25" r="19" customHeight="1" ht="18">
      <c r="A19" s="57"/>
      <c r="B19" s="14"/>
      <c r="C19" s="15"/>
      <c r="D19" s="14"/>
      <c r="E19" s="15"/>
      <c r="F19" s="15"/>
      <c r="G19" s="15"/>
    </row>
    <row x14ac:dyDescent="0.25" r="20" customHeight="1" ht="18">
      <c r="A20" s="57"/>
      <c r="B20" s="14"/>
      <c r="C20" s="15"/>
      <c r="D20" s="14"/>
      <c r="E20" s="15"/>
      <c r="F20" s="15"/>
      <c r="G20" s="15"/>
    </row>
    <row x14ac:dyDescent="0.25" r="21" customHeight="1" ht="18">
      <c r="A21" s="57"/>
      <c r="B21" s="14"/>
      <c r="C21" s="15"/>
      <c r="D21" s="14"/>
      <c r="E21" s="15"/>
      <c r="F21" s="15"/>
      <c r="G21" s="15"/>
    </row>
    <row x14ac:dyDescent="0.25" r="22" customHeight="1" ht="18">
      <c r="A22" s="57"/>
      <c r="B22" s="14"/>
      <c r="C22" s="15"/>
      <c r="D22" s="14"/>
      <c r="E22" s="15"/>
      <c r="F22" s="15"/>
      <c r="G22" s="15"/>
    </row>
    <row x14ac:dyDescent="0.25" r="23" customHeight="1" ht="18">
      <c r="A23" s="57"/>
      <c r="B23" s="14"/>
      <c r="C23" s="15"/>
      <c r="D23" s="14"/>
      <c r="E23" s="15"/>
      <c r="F23" s="15"/>
      <c r="G23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43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76" width="14.862142857142858" customWidth="1" bestFit="1"/>
    <col min="2" max="2" style="77" width="12.43357142857143" customWidth="1" bestFit="1"/>
    <col min="3" max="3" style="78" width="11.576428571428572" customWidth="1" bestFit="1"/>
    <col min="4" max="4" style="78" width="11.290714285714287" customWidth="1" bestFit="1"/>
    <col min="5" max="5" style="4" width="3.1478571428571427" customWidth="1" bestFit="1"/>
    <col min="6" max="6" style="79" width="12.290714285714287" customWidth="1" bestFit="1"/>
    <col min="7" max="7" style="80" width="12.005" customWidth="1" bestFit="1"/>
    <col min="8" max="8" style="17" width="12.290714285714287" customWidth="1" bestFit="1"/>
    <col min="9" max="9" style="17" width="14.147857142857141" customWidth="1" bestFit="1"/>
    <col min="10" max="10" style="16" width="2.862142857142857" customWidth="1" bestFit="1"/>
    <col min="11" max="11" style="79" width="11.005" customWidth="1" bestFit="1"/>
    <col min="12" max="12" style="80" width="12.862142857142858" customWidth="1" bestFit="1"/>
    <col min="13" max="13" style="17" width="11.290714285714287" customWidth="1" bestFit="1"/>
    <col min="14" max="14" style="17" width="11.719285714285713" customWidth="1" bestFit="1"/>
    <col min="15" max="15" style="16" width="2.7192857142857143" customWidth="1" bestFit="1"/>
    <col min="16" max="16" style="79" width="11.005" customWidth="1" bestFit="1"/>
    <col min="17" max="17" style="80" width="12.147857142857141" customWidth="1" bestFit="1"/>
    <col min="18" max="18" style="17" width="11.147857142857141" customWidth="1" bestFit="1"/>
    <col min="19" max="19" style="17" width="13.005" customWidth="1" bestFit="1"/>
    <col min="20" max="20" style="16" width="2.7192857142857143" customWidth="1" bestFit="1"/>
    <col min="21" max="21" style="79" width="11.005" customWidth="1" bestFit="1"/>
    <col min="22" max="22" style="80" width="11.147857142857141" customWidth="1" bestFit="1"/>
    <col min="23" max="23" style="17" width="11.862142857142858" customWidth="1" bestFit="1"/>
    <col min="24" max="24" style="17" width="13.005" customWidth="1" bestFit="1"/>
    <col min="25" max="25" style="16" width="3.2907142857142855" customWidth="1" bestFit="1"/>
    <col min="26" max="26" style="79" width="11.005" customWidth="1" bestFit="1"/>
    <col min="27" max="27" style="80" width="11.147857142857141" customWidth="1" bestFit="1"/>
    <col min="28" max="28" style="17" width="11.147857142857141" customWidth="1" bestFit="1"/>
    <col min="29" max="29" style="17" width="13.005" customWidth="1" bestFit="1"/>
    <col min="30" max="30" style="16" width="2.5764285714285715" customWidth="1" bestFit="1"/>
    <col min="31" max="31" style="79" width="11.005" customWidth="1" bestFit="1"/>
    <col min="32" max="32" style="80" width="12.576428571428572" customWidth="1" bestFit="1"/>
    <col min="33" max="33" style="17" width="11.576428571428572" customWidth="1" bestFit="1"/>
    <col min="34" max="34" style="17" width="13.005" customWidth="1" bestFit="1"/>
    <col min="35" max="35" style="16" width="3.005" customWidth="1" bestFit="1"/>
    <col min="36" max="36" style="79" width="11.005" customWidth="1" bestFit="1"/>
    <col min="37" max="37" style="80" width="12.576428571428572" customWidth="1" bestFit="1"/>
    <col min="38" max="38" style="17" width="12.43357142857143" customWidth="1" bestFit="1"/>
    <col min="39" max="39" style="17" width="13.005" customWidth="1" bestFit="1"/>
    <col min="40" max="40" style="17" width="2.5764285714285715" customWidth="1" bestFit="1"/>
    <col min="41" max="41" style="79" width="11.005" customWidth="1" bestFit="1"/>
    <col min="42" max="42" style="80" width="11.862142857142858" customWidth="1" bestFit="1"/>
    <col min="43" max="43" style="17" width="12.005" customWidth="1" bestFit="1"/>
    <col min="44" max="44" style="17" width="13.005" customWidth="1" bestFit="1"/>
  </cols>
  <sheetData>
    <row x14ac:dyDescent="0.25" r="1" customHeight="1" ht="18">
      <c r="A1" s="19" t="s">
        <v>42</v>
      </c>
      <c r="B1" s="20"/>
      <c r="C1" s="21"/>
      <c r="D1" s="21"/>
      <c r="E1" s="22"/>
      <c r="F1" s="19" t="s">
        <v>43</v>
      </c>
      <c r="G1" s="23"/>
      <c r="H1" s="24"/>
      <c r="I1" s="11"/>
      <c r="J1" s="25"/>
      <c r="K1" s="19" t="s">
        <v>44</v>
      </c>
      <c r="L1" s="26"/>
      <c r="M1" s="24"/>
      <c r="N1" s="11"/>
      <c r="O1" s="25"/>
      <c r="P1" s="19" t="s">
        <v>45</v>
      </c>
      <c r="Q1" s="26"/>
      <c r="R1" s="24"/>
      <c r="S1" s="11"/>
      <c r="T1" s="27"/>
      <c r="U1" s="19" t="s">
        <v>46</v>
      </c>
      <c r="V1" s="26"/>
      <c r="W1" s="24"/>
      <c r="X1" s="11"/>
      <c r="Y1" s="25"/>
      <c r="Z1" s="19" t="s">
        <v>47</v>
      </c>
      <c r="AA1" s="26"/>
      <c r="AB1" s="24"/>
      <c r="AC1" s="11"/>
      <c r="AD1" s="25"/>
      <c r="AE1" s="19" t="s">
        <v>48</v>
      </c>
      <c r="AF1" s="26"/>
      <c r="AG1" s="24"/>
      <c r="AH1" s="11"/>
      <c r="AI1" s="25"/>
      <c r="AJ1" s="19" t="s">
        <v>49</v>
      </c>
      <c r="AK1" s="26"/>
      <c r="AL1" s="24"/>
      <c r="AM1" s="11"/>
      <c r="AN1" s="28"/>
      <c r="AO1" s="19" t="s">
        <v>50</v>
      </c>
      <c r="AP1" s="26"/>
      <c r="AQ1" s="11"/>
      <c r="AR1" s="11"/>
    </row>
    <row x14ac:dyDescent="0.25" r="2" customHeight="1" ht="18">
      <c r="A2" s="29" t="s">
        <v>51</v>
      </c>
      <c r="B2" s="30" t="s">
        <v>52</v>
      </c>
      <c r="C2" s="31" t="s">
        <v>53</v>
      </c>
      <c r="D2" s="32" t="s">
        <v>54</v>
      </c>
      <c r="E2" s="33"/>
      <c r="F2" s="29" t="s">
        <v>51</v>
      </c>
      <c r="G2" s="30" t="s">
        <v>52</v>
      </c>
      <c r="H2" s="34" t="s">
        <v>53</v>
      </c>
      <c r="I2" s="35" t="s">
        <v>54</v>
      </c>
      <c r="J2" s="25"/>
      <c r="K2" s="36" t="s">
        <v>51</v>
      </c>
      <c r="L2" s="37" t="s">
        <v>52</v>
      </c>
      <c r="M2" s="34" t="s">
        <v>53</v>
      </c>
      <c r="N2" s="35" t="s">
        <v>54</v>
      </c>
      <c r="O2" s="25"/>
      <c r="P2" s="36" t="s">
        <v>51</v>
      </c>
      <c r="Q2" s="37" t="s">
        <v>52</v>
      </c>
      <c r="R2" s="34" t="s">
        <v>53</v>
      </c>
      <c r="S2" s="35" t="s">
        <v>54</v>
      </c>
      <c r="T2" s="25"/>
      <c r="U2" s="36" t="s">
        <v>51</v>
      </c>
      <c r="V2" s="37" t="s">
        <v>52</v>
      </c>
      <c r="W2" s="34" t="s">
        <v>53</v>
      </c>
      <c r="X2" s="35" t="s">
        <v>54</v>
      </c>
      <c r="Y2" s="25"/>
      <c r="Z2" s="36" t="s">
        <v>51</v>
      </c>
      <c r="AA2" s="38" t="s">
        <v>52</v>
      </c>
      <c r="AB2" s="32" t="s">
        <v>53</v>
      </c>
      <c r="AC2" s="35" t="s">
        <v>54</v>
      </c>
      <c r="AD2" s="25"/>
      <c r="AE2" s="36" t="s">
        <v>51</v>
      </c>
      <c r="AF2" s="38" t="s">
        <v>52</v>
      </c>
      <c r="AG2" s="32" t="s">
        <v>53</v>
      </c>
      <c r="AH2" s="35" t="s">
        <v>54</v>
      </c>
      <c r="AI2" s="25"/>
      <c r="AJ2" s="36" t="s">
        <v>51</v>
      </c>
      <c r="AK2" s="38" t="s">
        <v>52</v>
      </c>
      <c r="AL2" s="32" t="s">
        <v>53</v>
      </c>
      <c r="AM2" s="35" t="s">
        <v>54</v>
      </c>
      <c r="AN2" s="28"/>
      <c r="AO2" s="36" t="s">
        <v>51</v>
      </c>
      <c r="AP2" s="38" t="s">
        <v>52</v>
      </c>
      <c r="AQ2" s="39" t="s">
        <v>53</v>
      </c>
      <c r="AR2" s="32" t="s">
        <v>54</v>
      </c>
    </row>
    <row x14ac:dyDescent="0.25" r="3" customHeight="1" ht="18">
      <c r="A3" s="40">
        <v>45870</v>
      </c>
      <c r="B3" s="12">
        <v>3359</v>
      </c>
      <c r="C3" s="41"/>
      <c r="D3" s="12">
        <f>B3+C3</f>
      </c>
      <c r="E3" s="42"/>
      <c r="F3" s="40">
        <v>45901</v>
      </c>
      <c r="G3" s="43"/>
      <c r="H3" s="41"/>
      <c r="I3" s="12">
        <v>0</v>
      </c>
      <c r="J3" s="25"/>
      <c r="K3" s="44">
        <v>45931</v>
      </c>
      <c r="L3" s="12">
        <v>1999</v>
      </c>
      <c r="M3" s="12">
        <v>1</v>
      </c>
      <c r="N3" s="12">
        <f>L3+M3</f>
      </c>
      <c r="O3" s="45"/>
      <c r="P3" s="40">
        <v>45962</v>
      </c>
      <c r="Q3" s="12">
        <v>1</v>
      </c>
      <c r="R3" s="12">
        <v>1</v>
      </c>
      <c r="S3" s="12">
        <f>Q3+R3</f>
      </c>
      <c r="T3" s="45"/>
      <c r="U3" s="40">
        <v>45992</v>
      </c>
      <c r="V3" s="12">
        <v>1</v>
      </c>
      <c r="W3" s="12">
        <v>1</v>
      </c>
      <c r="X3" s="12">
        <f>V3+W3</f>
      </c>
      <c r="Y3" s="45"/>
      <c r="Z3" s="40">
        <v>46023</v>
      </c>
      <c r="AA3" s="12">
        <v>1</v>
      </c>
      <c r="AB3" s="12">
        <v>1</v>
      </c>
      <c r="AC3" s="12">
        <f>AA3+AB3</f>
      </c>
      <c r="AD3" s="45"/>
      <c r="AE3" s="40">
        <v>46054</v>
      </c>
      <c r="AF3" s="12">
        <v>1</v>
      </c>
      <c r="AG3" s="12">
        <v>1</v>
      </c>
      <c r="AH3" s="12">
        <f>AF3+AG3</f>
      </c>
      <c r="AI3" s="45"/>
      <c r="AJ3" s="40">
        <v>46082</v>
      </c>
      <c r="AK3" s="12">
        <v>1</v>
      </c>
      <c r="AL3" s="12">
        <v>1</v>
      </c>
      <c r="AM3" s="12">
        <f>AK3+AL3</f>
      </c>
      <c r="AN3" s="46">
        <f>SUM(AM3)</f>
      </c>
      <c r="AO3" s="40">
        <v>46113</v>
      </c>
      <c r="AP3" s="12">
        <v>1</v>
      </c>
      <c r="AQ3" s="12">
        <v>1</v>
      </c>
      <c r="AR3" s="12">
        <f>AP3+AQ3</f>
      </c>
    </row>
    <row x14ac:dyDescent="0.25" r="4" customHeight="1" ht="18">
      <c r="A4" s="40">
        <v>45871</v>
      </c>
      <c r="B4" s="12">
        <v>16540</v>
      </c>
      <c r="C4" s="41">
        <v>260</v>
      </c>
      <c r="D4" s="12">
        <f>B4+C4</f>
      </c>
      <c r="E4" s="45"/>
      <c r="F4" s="40">
        <v>45902</v>
      </c>
      <c r="G4" s="12">
        <v>1445</v>
      </c>
      <c r="H4" s="12">
        <v>1370</v>
      </c>
      <c r="I4" s="12">
        <f>G4+H4</f>
      </c>
      <c r="J4" s="25"/>
      <c r="K4" s="40">
        <v>45932</v>
      </c>
      <c r="L4" s="12">
        <v>2</v>
      </c>
      <c r="M4" s="12">
        <v>2</v>
      </c>
      <c r="N4" s="12">
        <f>L4+M4</f>
      </c>
      <c r="O4" s="45"/>
      <c r="P4" s="44">
        <v>45963</v>
      </c>
      <c r="Q4" s="12">
        <v>2</v>
      </c>
      <c r="R4" s="12">
        <v>2</v>
      </c>
      <c r="S4" s="12">
        <f>Q4+R4</f>
      </c>
      <c r="T4" s="45"/>
      <c r="U4" s="40">
        <v>45993</v>
      </c>
      <c r="V4" s="12">
        <v>2</v>
      </c>
      <c r="W4" s="12">
        <v>2</v>
      </c>
      <c r="X4" s="12">
        <f>V4+W4</f>
      </c>
      <c r="Y4" s="45"/>
      <c r="Z4" s="40">
        <v>46024</v>
      </c>
      <c r="AA4" s="12">
        <v>2</v>
      </c>
      <c r="AB4" s="12">
        <v>2</v>
      </c>
      <c r="AC4" s="12">
        <f>AA4+AB4</f>
      </c>
      <c r="AD4" s="45"/>
      <c r="AE4" s="40">
        <v>46055</v>
      </c>
      <c r="AF4" s="12">
        <v>2</v>
      </c>
      <c r="AG4" s="12">
        <v>2</v>
      </c>
      <c r="AH4" s="12">
        <f>AF4+AG4</f>
      </c>
      <c r="AI4" s="45"/>
      <c r="AJ4" s="40">
        <v>46083</v>
      </c>
      <c r="AK4" s="12">
        <v>2</v>
      </c>
      <c r="AL4" s="12">
        <v>2</v>
      </c>
      <c r="AM4" s="12">
        <f>AK4+AL4</f>
      </c>
      <c r="AN4" s="46">
        <f>SUM(AM4)</f>
      </c>
      <c r="AO4" s="40">
        <v>46114</v>
      </c>
      <c r="AP4" s="12">
        <v>2</v>
      </c>
      <c r="AQ4" s="12">
        <v>2</v>
      </c>
      <c r="AR4" s="12">
        <f>AP4+AQ4</f>
      </c>
    </row>
    <row x14ac:dyDescent="0.25" r="5" customHeight="1" ht="18">
      <c r="A5" s="40">
        <v>45872</v>
      </c>
      <c r="B5" s="12">
        <v>14355</v>
      </c>
      <c r="C5" s="41">
        <v>300</v>
      </c>
      <c r="D5" s="12">
        <f>B5+C5</f>
      </c>
      <c r="E5" s="45"/>
      <c r="F5" s="40">
        <v>45903</v>
      </c>
      <c r="G5" s="12">
        <v>5200</v>
      </c>
      <c r="H5" s="12">
        <v>50000</v>
      </c>
      <c r="I5" s="12">
        <f>G5+H5</f>
      </c>
      <c r="J5" s="25"/>
      <c r="K5" s="40">
        <v>45933</v>
      </c>
      <c r="L5" s="12">
        <v>3</v>
      </c>
      <c r="M5" s="41">
        <v>4</v>
      </c>
      <c r="N5" s="12">
        <f>L5+M5</f>
      </c>
      <c r="O5" s="45"/>
      <c r="P5" s="40">
        <v>45964</v>
      </c>
      <c r="Q5" s="43"/>
      <c r="R5" s="12"/>
      <c r="S5" s="12">
        <f>Q5+R5</f>
      </c>
      <c r="T5" s="45"/>
      <c r="U5" s="40">
        <v>45994</v>
      </c>
      <c r="V5" s="47"/>
      <c r="W5" s="12"/>
      <c r="X5" s="12">
        <f>V5+W5</f>
      </c>
      <c r="Y5" s="45"/>
      <c r="Z5" s="40">
        <v>46025</v>
      </c>
      <c r="AA5" s="43"/>
      <c r="AB5" s="12"/>
      <c r="AC5" s="12">
        <f>AA5+AB5</f>
      </c>
      <c r="AD5" s="45"/>
      <c r="AE5" s="40">
        <v>46056</v>
      </c>
      <c r="AF5" s="43"/>
      <c r="AG5" s="12"/>
      <c r="AH5" s="12">
        <f>AF5+AG5</f>
      </c>
      <c r="AI5" s="45"/>
      <c r="AJ5" s="40">
        <v>46084</v>
      </c>
      <c r="AK5" s="43"/>
      <c r="AL5" s="12"/>
      <c r="AM5" s="12">
        <f>AK5+AL5</f>
      </c>
      <c r="AN5" s="46"/>
      <c r="AO5" s="40">
        <v>46115</v>
      </c>
      <c r="AP5" s="43"/>
      <c r="AQ5" s="12"/>
      <c r="AR5" s="12">
        <f>AP5+AQ5</f>
      </c>
    </row>
    <row x14ac:dyDescent="0.25" r="6" customHeight="1" ht="18">
      <c r="A6" s="40">
        <v>45873</v>
      </c>
      <c r="B6" s="12">
        <v>3070</v>
      </c>
      <c r="C6" s="41">
        <v>1270</v>
      </c>
      <c r="D6" s="12">
        <f>B6+C6</f>
      </c>
      <c r="E6" s="45"/>
      <c r="F6" s="40">
        <v>45904</v>
      </c>
      <c r="G6" s="12">
        <v>553</v>
      </c>
      <c r="H6" s="12">
        <v>6350</v>
      </c>
      <c r="I6" s="12">
        <f>G6+H6</f>
      </c>
      <c r="J6" s="25"/>
      <c r="K6" s="40">
        <v>45934</v>
      </c>
      <c r="L6" s="43"/>
      <c r="M6" s="41"/>
      <c r="N6" s="12">
        <f>L6+M6</f>
      </c>
      <c r="O6" s="45"/>
      <c r="P6" s="40">
        <v>45965</v>
      </c>
      <c r="Q6" s="43"/>
      <c r="R6" s="12"/>
      <c r="S6" s="12">
        <f>Q6+R6</f>
      </c>
      <c r="T6" s="45"/>
      <c r="U6" s="40">
        <v>45995</v>
      </c>
      <c r="V6" s="47"/>
      <c r="W6" s="12"/>
      <c r="X6" s="12">
        <f>V6+W6</f>
      </c>
      <c r="Y6" s="45"/>
      <c r="Z6" s="40">
        <v>46026</v>
      </c>
      <c r="AA6" s="43"/>
      <c r="AB6" s="12"/>
      <c r="AC6" s="12">
        <f>AA6+AB6</f>
      </c>
      <c r="AD6" s="45"/>
      <c r="AE6" s="40">
        <v>46057</v>
      </c>
      <c r="AF6" s="43"/>
      <c r="AG6" s="12"/>
      <c r="AH6" s="12">
        <f>AF6+AG6</f>
      </c>
      <c r="AI6" s="45"/>
      <c r="AJ6" s="40">
        <v>46085</v>
      </c>
      <c r="AK6" s="43"/>
      <c r="AL6" s="12"/>
      <c r="AM6" s="12">
        <f>AK6+AL6</f>
      </c>
      <c r="AN6" s="46"/>
      <c r="AO6" s="40">
        <v>46116</v>
      </c>
      <c r="AP6" s="43"/>
      <c r="AQ6" s="12"/>
      <c r="AR6" s="12">
        <f>AP6+AQ6</f>
      </c>
    </row>
    <row x14ac:dyDescent="0.25" r="7" customHeight="1" ht="18">
      <c r="A7" s="40">
        <v>45874</v>
      </c>
      <c r="B7" s="12">
        <v>1140</v>
      </c>
      <c r="C7" s="41">
        <v>23800</v>
      </c>
      <c r="D7" s="12">
        <f>B7+C7</f>
      </c>
      <c r="E7" s="45"/>
      <c r="F7" s="40">
        <v>45905</v>
      </c>
      <c r="G7" s="12">
        <v>3260</v>
      </c>
      <c r="H7" s="12">
        <v>42600</v>
      </c>
      <c r="I7" s="12">
        <f>G7+H7</f>
      </c>
      <c r="J7" s="25"/>
      <c r="K7" s="40">
        <v>45935</v>
      </c>
      <c r="L7" s="43"/>
      <c r="M7" s="41"/>
      <c r="N7" s="12">
        <f>L7+M7</f>
      </c>
      <c r="O7" s="45"/>
      <c r="P7" s="40">
        <v>45966</v>
      </c>
      <c r="Q7" s="43"/>
      <c r="R7" s="12"/>
      <c r="S7" s="12">
        <f>Q7+R7</f>
      </c>
      <c r="T7" s="45"/>
      <c r="U7" s="40">
        <v>45996</v>
      </c>
      <c r="V7" s="47"/>
      <c r="W7" s="12"/>
      <c r="X7" s="12">
        <f>V7+W7</f>
      </c>
      <c r="Y7" s="45"/>
      <c r="Z7" s="40">
        <v>46027</v>
      </c>
      <c r="AA7" s="43"/>
      <c r="AB7" s="12"/>
      <c r="AC7" s="12">
        <f>AA7+AB7</f>
      </c>
      <c r="AD7" s="45"/>
      <c r="AE7" s="40">
        <v>46058</v>
      </c>
      <c r="AF7" s="43"/>
      <c r="AG7" s="12"/>
      <c r="AH7" s="12">
        <f>AF7+AG7</f>
      </c>
      <c r="AI7" s="45"/>
      <c r="AJ7" s="40">
        <v>46086</v>
      </c>
      <c r="AK7" s="43"/>
      <c r="AL7" s="12"/>
      <c r="AM7" s="12">
        <f>AK7+AL7</f>
      </c>
      <c r="AN7" s="46"/>
      <c r="AO7" s="40">
        <v>46117</v>
      </c>
      <c r="AP7" s="43"/>
      <c r="AQ7" s="12"/>
      <c r="AR7" s="12">
        <f>AP7+AQ7</f>
      </c>
    </row>
    <row x14ac:dyDescent="0.25" r="8" customHeight="1" ht="18">
      <c r="A8" s="40">
        <v>45875</v>
      </c>
      <c r="B8" s="12">
        <v>8640</v>
      </c>
      <c r="C8" s="41">
        <v>3000</v>
      </c>
      <c r="D8" s="12">
        <f>B8+C8</f>
      </c>
      <c r="E8" s="45"/>
      <c r="F8" s="40">
        <v>45906</v>
      </c>
      <c r="G8" s="12">
        <v>500</v>
      </c>
      <c r="H8" s="12">
        <v>14326</v>
      </c>
      <c r="I8" s="12">
        <f>G8+H8</f>
      </c>
      <c r="J8" s="25"/>
      <c r="K8" s="40">
        <v>45936</v>
      </c>
      <c r="L8" s="43"/>
      <c r="M8" s="41"/>
      <c r="N8" s="12">
        <f>L8+M8</f>
      </c>
      <c r="O8" s="45"/>
      <c r="P8" s="40">
        <v>45967</v>
      </c>
      <c r="Q8" s="43"/>
      <c r="R8" s="12"/>
      <c r="S8" s="12">
        <f>Q8+R8</f>
      </c>
      <c r="T8" s="45"/>
      <c r="U8" s="40">
        <v>45997</v>
      </c>
      <c r="V8" s="47"/>
      <c r="W8" s="12"/>
      <c r="X8" s="12">
        <f>V8+W8</f>
      </c>
      <c r="Y8" s="45"/>
      <c r="Z8" s="40">
        <v>46028</v>
      </c>
      <c r="AA8" s="43"/>
      <c r="AB8" s="12"/>
      <c r="AC8" s="12">
        <f>AA8+AB8</f>
      </c>
      <c r="AD8" s="45"/>
      <c r="AE8" s="40">
        <v>46059</v>
      </c>
      <c r="AF8" s="43"/>
      <c r="AG8" s="12"/>
      <c r="AH8" s="12">
        <f>AF8+AG8</f>
      </c>
      <c r="AI8" s="45"/>
      <c r="AJ8" s="40">
        <v>46087</v>
      </c>
      <c r="AK8" s="43"/>
      <c r="AL8" s="12"/>
      <c r="AM8" s="12">
        <f>AK8+AL8</f>
      </c>
      <c r="AN8" s="46"/>
      <c r="AO8" s="40">
        <v>46118</v>
      </c>
      <c r="AP8" s="43"/>
      <c r="AQ8" s="12"/>
      <c r="AR8" s="12">
        <f>AP8+AQ8</f>
      </c>
    </row>
    <row x14ac:dyDescent="0.25" r="9" customHeight="1" ht="18">
      <c r="A9" s="40">
        <v>45876</v>
      </c>
      <c r="B9" s="12">
        <v>5990</v>
      </c>
      <c r="C9" s="41"/>
      <c r="D9" s="12">
        <f>B9+C9</f>
      </c>
      <c r="E9" s="45"/>
      <c r="F9" s="40">
        <v>45907</v>
      </c>
      <c r="G9" s="12">
        <v>4957</v>
      </c>
      <c r="H9" s="12"/>
      <c r="I9" s="12">
        <f>G9+H9</f>
      </c>
      <c r="J9" s="25"/>
      <c r="K9" s="40">
        <v>45937</v>
      </c>
      <c r="L9" s="43"/>
      <c r="M9" s="12"/>
      <c r="N9" s="12">
        <f>L9+M9</f>
      </c>
      <c r="O9" s="45"/>
      <c r="P9" s="40">
        <v>45968</v>
      </c>
      <c r="Q9" s="43"/>
      <c r="R9" s="12"/>
      <c r="S9" s="12">
        <f>Q9+R9</f>
      </c>
      <c r="T9" s="45"/>
      <c r="U9" s="40">
        <v>45998</v>
      </c>
      <c r="V9" s="43"/>
      <c r="W9" s="12"/>
      <c r="X9" s="12">
        <f>V9+W9</f>
      </c>
      <c r="Y9" s="45"/>
      <c r="Z9" s="40">
        <v>46029</v>
      </c>
      <c r="AA9" s="43"/>
      <c r="AB9" s="12"/>
      <c r="AC9" s="12">
        <f>AA9+AB9</f>
      </c>
      <c r="AD9" s="45"/>
      <c r="AE9" s="40">
        <v>46060</v>
      </c>
      <c r="AF9" s="43"/>
      <c r="AG9" s="12"/>
      <c r="AH9" s="12">
        <f>AF9+AG9</f>
      </c>
      <c r="AI9" s="45"/>
      <c r="AJ9" s="40">
        <v>46088</v>
      </c>
      <c r="AK9" s="43"/>
      <c r="AL9" s="12"/>
      <c r="AM9" s="12">
        <f>AK9+AL9</f>
      </c>
      <c r="AN9" s="46"/>
      <c r="AO9" s="40">
        <v>46119</v>
      </c>
      <c r="AP9" s="43"/>
      <c r="AQ9" s="12"/>
      <c r="AR9" s="12">
        <f>AP9+AQ9</f>
      </c>
    </row>
    <row x14ac:dyDescent="0.25" r="10" customHeight="1" ht="18">
      <c r="A10" s="40">
        <v>45877</v>
      </c>
      <c r="B10" s="12">
        <v>2320</v>
      </c>
      <c r="C10" s="41">
        <v>14495</v>
      </c>
      <c r="D10" s="12">
        <f>B10+C10</f>
      </c>
      <c r="E10" s="45"/>
      <c r="F10" s="40">
        <v>45908</v>
      </c>
      <c r="G10" s="12">
        <v>8414</v>
      </c>
      <c r="H10" s="12">
        <v>273</v>
      </c>
      <c r="I10" s="12">
        <f>G10+H10</f>
      </c>
      <c r="J10" s="25"/>
      <c r="K10" s="40">
        <v>45938</v>
      </c>
      <c r="L10" s="43"/>
      <c r="M10" s="12"/>
      <c r="N10" s="12">
        <f>L10+M10</f>
      </c>
      <c r="O10" s="45"/>
      <c r="P10" s="40">
        <v>45969</v>
      </c>
      <c r="Q10" s="43"/>
      <c r="R10" s="12"/>
      <c r="S10" s="12">
        <f>Q10+R10</f>
      </c>
      <c r="T10" s="45"/>
      <c r="U10" s="40">
        <v>45999</v>
      </c>
      <c r="V10" s="43"/>
      <c r="W10" s="12"/>
      <c r="X10" s="12">
        <f>V10+W10</f>
      </c>
      <c r="Y10" s="45"/>
      <c r="Z10" s="40">
        <v>46030</v>
      </c>
      <c r="AA10" s="43"/>
      <c r="AB10" s="12"/>
      <c r="AC10" s="12">
        <f>AA10+AB10</f>
      </c>
      <c r="AD10" s="45"/>
      <c r="AE10" s="40">
        <v>46061</v>
      </c>
      <c r="AF10" s="43"/>
      <c r="AG10" s="12"/>
      <c r="AH10" s="12">
        <f>AF10+AG10</f>
      </c>
      <c r="AI10" s="45"/>
      <c r="AJ10" s="40">
        <v>46089</v>
      </c>
      <c r="AK10" s="43"/>
      <c r="AL10" s="12"/>
      <c r="AM10" s="12">
        <f>AK10+AL10</f>
      </c>
      <c r="AN10" s="46"/>
      <c r="AO10" s="40">
        <v>46120</v>
      </c>
      <c r="AP10" s="43"/>
      <c r="AQ10" s="12"/>
      <c r="AR10" s="12">
        <f>AP10+AQ10</f>
      </c>
    </row>
    <row x14ac:dyDescent="0.25" r="11" customHeight="1" ht="18">
      <c r="A11" s="40">
        <v>45878</v>
      </c>
      <c r="B11" s="12">
        <v>1580</v>
      </c>
      <c r="C11" s="41">
        <v>8500</v>
      </c>
      <c r="D11" s="12">
        <f>B11+C11</f>
      </c>
      <c r="E11" s="45"/>
      <c r="F11" s="40">
        <v>45909</v>
      </c>
      <c r="G11" s="12">
        <v>10060</v>
      </c>
      <c r="H11" s="12">
        <v>1600</v>
      </c>
      <c r="I11" s="12">
        <f>G11+H11</f>
      </c>
      <c r="J11" s="25"/>
      <c r="K11" s="40">
        <v>45939</v>
      </c>
      <c r="L11" s="43"/>
      <c r="M11" s="12"/>
      <c r="N11" s="12">
        <f>L11+M11</f>
      </c>
      <c r="O11" s="45"/>
      <c r="P11" s="40">
        <v>45970</v>
      </c>
      <c r="Q11" s="43"/>
      <c r="R11" s="12"/>
      <c r="S11" s="12">
        <f>Q11+R11</f>
      </c>
      <c r="T11" s="45"/>
      <c r="U11" s="40">
        <v>46000</v>
      </c>
      <c r="V11" s="43"/>
      <c r="W11" s="12"/>
      <c r="X11" s="12">
        <f>V11+W11</f>
      </c>
      <c r="Y11" s="45"/>
      <c r="Z11" s="40">
        <v>46031</v>
      </c>
      <c r="AA11" s="43"/>
      <c r="AB11" s="12"/>
      <c r="AC11" s="12">
        <f>AA11+AB11</f>
      </c>
      <c r="AD11" s="45"/>
      <c r="AE11" s="40">
        <v>46062</v>
      </c>
      <c r="AF11" s="43"/>
      <c r="AG11" s="12"/>
      <c r="AH11" s="12">
        <f>AF11+AG11</f>
      </c>
      <c r="AI11" s="45"/>
      <c r="AJ11" s="40">
        <v>46090</v>
      </c>
      <c r="AK11" s="43"/>
      <c r="AL11" s="12"/>
      <c r="AM11" s="12">
        <f>AK11+AL11</f>
      </c>
      <c r="AN11" s="46"/>
      <c r="AO11" s="40">
        <v>46121</v>
      </c>
      <c r="AP11" s="43"/>
      <c r="AQ11" s="12"/>
      <c r="AR11" s="12">
        <f>AP11+AQ11</f>
      </c>
    </row>
    <row x14ac:dyDescent="0.25" r="12" customHeight="1" ht="18">
      <c r="A12" s="40">
        <v>45879</v>
      </c>
      <c r="B12" s="12">
        <v>3836</v>
      </c>
      <c r="C12" s="41">
        <v>14000</v>
      </c>
      <c r="D12" s="12">
        <f>B12+C12</f>
      </c>
      <c r="E12" s="45"/>
      <c r="F12" s="40">
        <v>45910</v>
      </c>
      <c r="G12" s="12">
        <v>8595</v>
      </c>
      <c r="H12" s="12">
        <v>50404</v>
      </c>
      <c r="I12" s="12">
        <f>G12+H12</f>
      </c>
      <c r="J12" s="25"/>
      <c r="K12" s="40">
        <v>45940</v>
      </c>
      <c r="L12" s="43"/>
      <c r="M12" s="12"/>
      <c r="N12" s="12">
        <f>L12+M12</f>
      </c>
      <c r="O12" s="45"/>
      <c r="P12" s="40">
        <v>45971</v>
      </c>
      <c r="Q12" s="43"/>
      <c r="R12" s="12"/>
      <c r="S12" s="12">
        <f>Q12+R12</f>
      </c>
      <c r="T12" s="45"/>
      <c r="U12" s="40">
        <v>46001</v>
      </c>
      <c r="V12" s="43"/>
      <c r="W12" s="12"/>
      <c r="X12" s="12">
        <f>V12+W12</f>
      </c>
      <c r="Y12" s="45"/>
      <c r="Z12" s="40">
        <v>46032</v>
      </c>
      <c r="AA12" s="43"/>
      <c r="AB12" s="12"/>
      <c r="AC12" s="12">
        <f>AA12+AB12</f>
      </c>
      <c r="AD12" s="45"/>
      <c r="AE12" s="40">
        <v>46063</v>
      </c>
      <c r="AF12" s="43"/>
      <c r="AG12" s="12"/>
      <c r="AH12" s="12">
        <f>AF12+AG12</f>
      </c>
      <c r="AI12" s="45"/>
      <c r="AJ12" s="40">
        <v>46091</v>
      </c>
      <c r="AK12" s="43"/>
      <c r="AL12" s="12"/>
      <c r="AM12" s="12">
        <f>AK12+AL12</f>
      </c>
      <c r="AN12" s="46"/>
      <c r="AO12" s="40">
        <v>46122</v>
      </c>
      <c r="AP12" s="43"/>
      <c r="AQ12" s="12"/>
      <c r="AR12" s="12">
        <f>AP12+AQ12</f>
      </c>
    </row>
    <row x14ac:dyDescent="0.25" r="13" customHeight="1" ht="18">
      <c r="A13" s="40">
        <v>45880</v>
      </c>
      <c r="B13" s="12">
        <v>19710</v>
      </c>
      <c r="C13" s="41">
        <v>14000</v>
      </c>
      <c r="D13" s="12">
        <f>B13+C13</f>
      </c>
      <c r="E13" s="45"/>
      <c r="F13" s="40">
        <v>45911</v>
      </c>
      <c r="G13" s="12">
        <v>4085</v>
      </c>
      <c r="H13" s="12">
        <v>66500</v>
      </c>
      <c r="I13" s="12">
        <f>G13+H13</f>
      </c>
      <c r="J13" s="25"/>
      <c r="K13" s="40">
        <v>45941</v>
      </c>
      <c r="L13" s="43"/>
      <c r="M13" s="12"/>
      <c r="N13" s="12">
        <f>L13+M13</f>
      </c>
      <c r="O13" s="45"/>
      <c r="P13" s="40">
        <v>45972</v>
      </c>
      <c r="Q13" s="43"/>
      <c r="R13" s="12"/>
      <c r="S13" s="12">
        <f>Q13+R13</f>
      </c>
      <c r="T13" s="45"/>
      <c r="U13" s="40">
        <v>46002</v>
      </c>
      <c r="V13" s="43"/>
      <c r="W13" s="12"/>
      <c r="X13" s="12">
        <f>V13+W13</f>
      </c>
      <c r="Y13" s="45"/>
      <c r="Z13" s="40">
        <v>46033</v>
      </c>
      <c r="AA13" s="43"/>
      <c r="AB13" s="12"/>
      <c r="AC13" s="12">
        <f>AA13+AB13</f>
      </c>
      <c r="AD13" s="45"/>
      <c r="AE13" s="40">
        <v>46064</v>
      </c>
      <c r="AF13" s="43"/>
      <c r="AG13" s="12"/>
      <c r="AH13" s="12">
        <f>AF13+AG13</f>
      </c>
      <c r="AI13" s="45"/>
      <c r="AJ13" s="40">
        <v>46092</v>
      </c>
      <c r="AK13" s="43"/>
      <c r="AL13" s="12"/>
      <c r="AM13" s="12">
        <f>AK13+AL13</f>
      </c>
      <c r="AN13" s="46"/>
      <c r="AO13" s="40">
        <v>46123</v>
      </c>
      <c r="AP13" s="43"/>
      <c r="AQ13" s="12"/>
      <c r="AR13" s="12">
        <f>AP13+AQ13</f>
      </c>
    </row>
    <row x14ac:dyDescent="0.25" r="14" customHeight="1" ht="18">
      <c r="A14" s="40">
        <v>45881</v>
      </c>
      <c r="B14" s="12">
        <v>6070</v>
      </c>
      <c r="C14" s="41"/>
      <c r="D14" s="12">
        <f>B14+C14</f>
      </c>
      <c r="E14" s="45"/>
      <c r="F14" s="40">
        <v>45912</v>
      </c>
      <c r="G14" s="12">
        <v>3425</v>
      </c>
      <c r="H14" s="12">
        <v>76000</v>
      </c>
      <c r="I14" s="12">
        <f>G14+H14</f>
      </c>
      <c r="J14" s="25"/>
      <c r="K14" s="40">
        <v>45942</v>
      </c>
      <c r="L14" s="43"/>
      <c r="M14" s="12"/>
      <c r="N14" s="12">
        <f>L14+M14</f>
      </c>
      <c r="O14" s="45"/>
      <c r="P14" s="40">
        <v>45973</v>
      </c>
      <c r="Q14" s="43"/>
      <c r="R14" s="12"/>
      <c r="S14" s="12">
        <f>Q14+R14</f>
      </c>
      <c r="T14" s="45"/>
      <c r="U14" s="40">
        <v>46003</v>
      </c>
      <c r="V14" s="43"/>
      <c r="W14" s="12"/>
      <c r="X14" s="12">
        <f>V14+W14</f>
      </c>
      <c r="Y14" s="45"/>
      <c r="Z14" s="40">
        <v>46034</v>
      </c>
      <c r="AA14" s="43"/>
      <c r="AB14" s="12"/>
      <c r="AC14" s="12">
        <f>AA14+AB14</f>
      </c>
      <c r="AD14" s="45"/>
      <c r="AE14" s="40">
        <v>46065</v>
      </c>
      <c r="AF14" s="43"/>
      <c r="AG14" s="12"/>
      <c r="AH14" s="12">
        <f>AF14+AG14</f>
      </c>
      <c r="AI14" s="45"/>
      <c r="AJ14" s="40">
        <v>46093</v>
      </c>
      <c r="AK14" s="43"/>
      <c r="AL14" s="12"/>
      <c r="AM14" s="12">
        <f>AK14+AL14</f>
      </c>
      <c r="AN14" s="46"/>
      <c r="AO14" s="40">
        <v>46124</v>
      </c>
      <c r="AP14" s="43"/>
      <c r="AQ14" s="12"/>
      <c r="AR14" s="12">
        <f>AP14+AQ14</f>
      </c>
    </row>
    <row x14ac:dyDescent="0.25" r="15" customHeight="1" ht="18">
      <c r="A15" s="40">
        <v>45882</v>
      </c>
      <c r="B15" s="12">
        <v>3350</v>
      </c>
      <c r="C15" s="41">
        <v>43000</v>
      </c>
      <c r="D15" s="12">
        <f>B15+C15</f>
      </c>
      <c r="E15" s="45"/>
      <c r="F15" s="40">
        <v>45913</v>
      </c>
      <c r="G15" s="12">
        <v>7084</v>
      </c>
      <c r="H15" s="15"/>
      <c r="I15" s="12">
        <f>G15+H15</f>
      </c>
      <c r="J15" s="25"/>
      <c r="K15" s="40">
        <v>45943</v>
      </c>
      <c r="L15" s="43"/>
      <c r="M15" s="12"/>
      <c r="N15" s="12">
        <f>L15+M15</f>
      </c>
      <c r="O15" s="45"/>
      <c r="P15" s="40">
        <v>45974</v>
      </c>
      <c r="Q15" s="43"/>
      <c r="R15" s="12"/>
      <c r="S15" s="12">
        <f>Q15+R15</f>
      </c>
      <c r="T15" s="45"/>
      <c r="U15" s="40">
        <v>46004</v>
      </c>
      <c r="V15" s="43"/>
      <c r="W15" s="12"/>
      <c r="X15" s="12">
        <f>V15+W15</f>
      </c>
      <c r="Y15" s="45"/>
      <c r="Z15" s="40">
        <v>46035</v>
      </c>
      <c r="AA15" s="43"/>
      <c r="AB15" s="12"/>
      <c r="AC15" s="12">
        <f>AA15+AB15</f>
      </c>
      <c r="AD15" s="45"/>
      <c r="AE15" s="40">
        <v>46066</v>
      </c>
      <c r="AF15" s="43"/>
      <c r="AG15" s="12"/>
      <c r="AH15" s="12">
        <f>AF15+AG15</f>
      </c>
      <c r="AI15" s="45"/>
      <c r="AJ15" s="40">
        <v>46094</v>
      </c>
      <c r="AK15" s="43"/>
      <c r="AL15" s="12"/>
      <c r="AM15" s="12">
        <f>AK15+AL15</f>
      </c>
      <c r="AN15" s="46"/>
      <c r="AO15" s="40">
        <v>46125</v>
      </c>
      <c r="AP15" s="43"/>
      <c r="AQ15" s="12"/>
      <c r="AR15" s="12">
        <f>AP15+AQ15</f>
      </c>
    </row>
    <row x14ac:dyDescent="0.25" r="16" customHeight="1" ht="18">
      <c r="A16" s="40">
        <v>45883</v>
      </c>
      <c r="B16" s="12">
        <v>3050</v>
      </c>
      <c r="C16" s="41">
        <v>8000</v>
      </c>
      <c r="D16" s="12">
        <f>B16+C16</f>
      </c>
      <c r="E16" s="45"/>
      <c r="F16" s="40">
        <v>45914</v>
      </c>
      <c r="G16" s="12">
        <v>4133</v>
      </c>
      <c r="H16" s="15"/>
      <c r="I16" s="12">
        <f>G16+H16</f>
      </c>
      <c r="J16" s="25"/>
      <c r="K16" s="40">
        <v>45944</v>
      </c>
      <c r="L16" s="43"/>
      <c r="M16" s="12"/>
      <c r="N16" s="12">
        <f>L16+M16</f>
      </c>
      <c r="O16" s="45"/>
      <c r="P16" s="40">
        <v>45975</v>
      </c>
      <c r="Q16" s="43"/>
      <c r="R16" s="12"/>
      <c r="S16" s="12">
        <f>Q16+R16</f>
      </c>
      <c r="T16" s="45"/>
      <c r="U16" s="40">
        <v>46005</v>
      </c>
      <c r="V16" s="43"/>
      <c r="W16" s="12"/>
      <c r="X16" s="12">
        <f>V16+W16</f>
      </c>
      <c r="Y16" s="45"/>
      <c r="Z16" s="40">
        <v>46036</v>
      </c>
      <c r="AA16" s="43"/>
      <c r="AB16" s="12"/>
      <c r="AC16" s="12">
        <f>AA16+AB16</f>
      </c>
      <c r="AD16" s="45"/>
      <c r="AE16" s="40">
        <v>46067</v>
      </c>
      <c r="AF16" s="43"/>
      <c r="AG16" s="12"/>
      <c r="AH16" s="12">
        <f>AF16+AG16</f>
      </c>
      <c r="AI16" s="45"/>
      <c r="AJ16" s="40">
        <v>46095</v>
      </c>
      <c r="AK16" s="43"/>
      <c r="AL16" s="12"/>
      <c r="AM16" s="12">
        <f>AK16+AL16</f>
      </c>
      <c r="AN16" s="46"/>
      <c r="AO16" s="40">
        <v>46126</v>
      </c>
      <c r="AP16" s="43"/>
      <c r="AQ16" s="12"/>
      <c r="AR16" s="12">
        <f>AP16+AQ16</f>
      </c>
    </row>
    <row x14ac:dyDescent="0.25" r="17" customHeight="1" ht="18">
      <c r="A17" s="40">
        <v>45884</v>
      </c>
      <c r="B17" s="12">
        <v>3750</v>
      </c>
      <c r="C17" s="41">
        <v>24500</v>
      </c>
      <c r="D17" s="12">
        <f>B17+C17</f>
      </c>
      <c r="E17" s="45"/>
      <c r="F17" s="40">
        <v>45915</v>
      </c>
      <c r="G17" s="48"/>
      <c r="H17" s="15"/>
      <c r="I17" s="12">
        <f>G17+H17</f>
      </c>
      <c r="J17" s="25"/>
      <c r="K17" s="40">
        <v>45945</v>
      </c>
      <c r="L17" s="43"/>
      <c r="M17" s="12"/>
      <c r="N17" s="12">
        <f>L17+M17</f>
      </c>
      <c r="O17" s="45"/>
      <c r="P17" s="40">
        <v>45976</v>
      </c>
      <c r="Q17" s="43"/>
      <c r="R17" s="12"/>
      <c r="S17" s="12">
        <f>Q17+R17</f>
      </c>
      <c r="T17" s="45"/>
      <c r="U17" s="40">
        <v>46006</v>
      </c>
      <c r="V17" s="43"/>
      <c r="W17" s="12"/>
      <c r="X17" s="12">
        <f>V17+W17</f>
      </c>
      <c r="Y17" s="45"/>
      <c r="Z17" s="40">
        <v>46037</v>
      </c>
      <c r="AA17" s="43"/>
      <c r="AB17" s="12"/>
      <c r="AC17" s="12">
        <f>AA17+AB17</f>
      </c>
      <c r="AD17" s="45"/>
      <c r="AE17" s="40">
        <v>46068</v>
      </c>
      <c r="AF17" s="43"/>
      <c r="AG17" s="12"/>
      <c r="AH17" s="12">
        <f>AF17+AG17</f>
      </c>
      <c r="AI17" s="45"/>
      <c r="AJ17" s="40">
        <v>46096</v>
      </c>
      <c r="AK17" s="43"/>
      <c r="AL17" s="12"/>
      <c r="AM17" s="12">
        <f>AK17+AL17</f>
      </c>
      <c r="AN17" s="46"/>
      <c r="AO17" s="40">
        <v>46127</v>
      </c>
      <c r="AP17" s="43"/>
      <c r="AQ17" s="12"/>
      <c r="AR17" s="12">
        <f>AP17+AQ17</f>
      </c>
    </row>
    <row x14ac:dyDescent="0.25" r="18" customHeight="1" ht="18">
      <c r="A18" s="40">
        <v>45885</v>
      </c>
      <c r="B18" s="12">
        <v>2238</v>
      </c>
      <c r="C18" s="41">
        <v>850</v>
      </c>
      <c r="D18" s="12">
        <f>B18+C18</f>
      </c>
      <c r="E18" s="45"/>
      <c r="F18" s="40">
        <v>45916</v>
      </c>
      <c r="G18" s="48"/>
      <c r="H18" s="15"/>
      <c r="I18" s="12">
        <f>G18+H18</f>
      </c>
      <c r="J18" s="25"/>
      <c r="K18" s="40">
        <v>45946</v>
      </c>
      <c r="L18" s="43"/>
      <c r="M18" s="12"/>
      <c r="N18" s="12">
        <f>L18+M18</f>
      </c>
      <c r="O18" s="45"/>
      <c r="P18" s="40">
        <v>45977</v>
      </c>
      <c r="Q18" s="43"/>
      <c r="R18" s="12"/>
      <c r="S18" s="12">
        <f>Q18+R18</f>
      </c>
      <c r="T18" s="45"/>
      <c r="U18" s="40">
        <v>46007</v>
      </c>
      <c r="V18" s="43"/>
      <c r="W18" s="12"/>
      <c r="X18" s="12">
        <f>V18+W18</f>
      </c>
      <c r="Y18" s="45"/>
      <c r="Z18" s="40">
        <v>46038</v>
      </c>
      <c r="AA18" s="43"/>
      <c r="AB18" s="12"/>
      <c r="AC18" s="12">
        <f>AA18+AB18</f>
      </c>
      <c r="AD18" s="45"/>
      <c r="AE18" s="40">
        <v>46069</v>
      </c>
      <c r="AF18" s="43"/>
      <c r="AG18" s="12"/>
      <c r="AH18" s="12">
        <f>AF18+AG18</f>
      </c>
      <c r="AI18" s="45"/>
      <c r="AJ18" s="40">
        <v>46097</v>
      </c>
      <c r="AK18" s="43"/>
      <c r="AL18" s="12"/>
      <c r="AM18" s="12">
        <f>AK18+AL18</f>
      </c>
      <c r="AN18" s="46"/>
      <c r="AO18" s="40">
        <v>46128</v>
      </c>
      <c r="AP18" s="43"/>
      <c r="AQ18" s="12"/>
      <c r="AR18" s="12">
        <f>AP18+AQ18</f>
      </c>
    </row>
    <row x14ac:dyDescent="0.25" r="19" customHeight="1" ht="18">
      <c r="A19" s="40">
        <v>45886</v>
      </c>
      <c r="B19" s="12">
        <v>3534</v>
      </c>
      <c r="C19" s="41">
        <v>460</v>
      </c>
      <c r="D19" s="12">
        <f>B19+C19</f>
      </c>
      <c r="E19" s="45"/>
      <c r="F19" s="40">
        <v>45917</v>
      </c>
      <c r="G19" s="48"/>
      <c r="H19" s="15"/>
      <c r="I19" s="12">
        <f>G19+H19</f>
      </c>
      <c r="J19" s="25"/>
      <c r="K19" s="40">
        <v>45947</v>
      </c>
      <c r="L19" s="43"/>
      <c r="M19" s="12"/>
      <c r="N19" s="12">
        <f>L19+M19</f>
      </c>
      <c r="O19" s="45"/>
      <c r="P19" s="40">
        <v>45978</v>
      </c>
      <c r="Q19" s="43"/>
      <c r="R19" s="12"/>
      <c r="S19" s="12">
        <f>Q19+R19</f>
      </c>
      <c r="T19" s="45"/>
      <c r="U19" s="40">
        <v>46008</v>
      </c>
      <c r="V19" s="43"/>
      <c r="W19" s="12"/>
      <c r="X19" s="12">
        <f>V19+W19</f>
      </c>
      <c r="Y19" s="45"/>
      <c r="Z19" s="40">
        <v>46039</v>
      </c>
      <c r="AA19" s="43"/>
      <c r="AB19" s="12"/>
      <c r="AC19" s="12">
        <f>AA19+AB19</f>
      </c>
      <c r="AD19" s="45"/>
      <c r="AE19" s="40">
        <v>46070</v>
      </c>
      <c r="AF19" s="43"/>
      <c r="AG19" s="12"/>
      <c r="AH19" s="12">
        <f>AF19+AG19</f>
      </c>
      <c r="AI19" s="45"/>
      <c r="AJ19" s="40">
        <v>46098</v>
      </c>
      <c r="AK19" s="43"/>
      <c r="AL19" s="12"/>
      <c r="AM19" s="12">
        <f>AK19+AL19</f>
      </c>
      <c r="AN19" s="46"/>
      <c r="AO19" s="40">
        <v>46129</v>
      </c>
      <c r="AP19" s="43"/>
      <c r="AQ19" s="12"/>
      <c r="AR19" s="12">
        <f>AP19+AQ19</f>
      </c>
    </row>
    <row x14ac:dyDescent="0.25" r="20" customHeight="1" ht="18">
      <c r="A20" s="40">
        <v>45887</v>
      </c>
      <c r="B20" s="12">
        <v>9785</v>
      </c>
      <c r="C20" s="41">
        <v>45850</v>
      </c>
      <c r="D20" s="12">
        <f>B20+C20</f>
      </c>
      <c r="E20" s="45"/>
      <c r="F20" s="40">
        <v>45918</v>
      </c>
      <c r="G20" s="48"/>
      <c r="H20" s="15"/>
      <c r="I20" s="12">
        <f>G20+H20</f>
      </c>
      <c r="J20" s="25"/>
      <c r="K20" s="40">
        <v>45948</v>
      </c>
      <c r="L20" s="43"/>
      <c r="M20" s="12"/>
      <c r="N20" s="12">
        <f>L20+M20</f>
      </c>
      <c r="O20" s="45"/>
      <c r="P20" s="40">
        <v>45979</v>
      </c>
      <c r="Q20" s="43"/>
      <c r="R20" s="12"/>
      <c r="S20" s="12">
        <f>Q20+R20</f>
      </c>
      <c r="T20" s="45"/>
      <c r="U20" s="40">
        <v>46009</v>
      </c>
      <c r="V20" s="43"/>
      <c r="W20" s="12"/>
      <c r="X20" s="12">
        <f>V20+W20</f>
      </c>
      <c r="Y20" s="45"/>
      <c r="Z20" s="40">
        <v>46040</v>
      </c>
      <c r="AA20" s="43"/>
      <c r="AB20" s="12"/>
      <c r="AC20" s="12">
        <f>AA20+AB20</f>
      </c>
      <c r="AD20" s="45"/>
      <c r="AE20" s="40">
        <v>46071</v>
      </c>
      <c r="AF20" s="43"/>
      <c r="AG20" s="12"/>
      <c r="AH20" s="12">
        <f>AF20+AG20</f>
      </c>
      <c r="AI20" s="45"/>
      <c r="AJ20" s="40">
        <v>46099</v>
      </c>
      <c r="AK20" s="43"/>
      <c r="AL20" s="12"/>
      <c r="AM20" s="12">
        <f>AK20+AL20</f>
      </c>
      <c r="AN20" s="46"/>
      <c r="AO20" s="40">
        <v>46130</v>
      </c>
      <c r="AP20" s="43"/>
      <c r="AQ20" s="12"/>
      <c r="AR20" s="12">
        <f>AP20+AQ20</f>
      </c>
    </row>
    <row x14ac:dyDescent="0.25" r="21" customHeight="1" ht="18">
      <c r="A21" s="40">
        <v>45888</v>
      </c>
      <c r="B21" s="12">
        <v>4620</v>
      </c>
      <c r="C21" s="41">
        <v>14370</v>
      </c>
      <c r="D21" s="12">
        <f>B21+C21</f>
      </c>
      <c r="E21" s="45"/>
      <c r="F21" s="40">
        <v>45919</v>
      </c>
      <c r="G21" s="48"/>
      <c r="H21" s="15"/>
      <c r="I21" s="12">
        <f>G21+H21</f>
      </c>
      <c r="J21" s="25"/>
      <c r="K21" s="40">
        <v>45949</v>
      </c>
      <c r="L21" s="43"/>
      <c r="M21" s="12"/>
      <c r="N21" s="12">
        <f>L21+M21</f>
      </c>
      <c r="O21" s="45"/>
      <c r="P21" s="40">
        <v>45980</v>
      </c>
      <c r="Q21" s="43"/>
      <c r="R21" s="12"/>
      <c r="S21" s="12">
        <f>Q21+R21</f>
      </c>
      <c r="T21" s="45"/>
      <c r="U21" s="40">
        <v>46010</v>
      </c>
      <c r="V21" s="43"/>
      <c r="W21" s="12"/>
      <c r="X21" s="12">
        <f>V21+W21</f>
      </c>
      <c r="Y21" s="45"/>
      <c r="Z21" s="40">
        <v>46041</v>
      </c>
      <c r="AA21" s="43"/>
      <c r="AB21" s="12"/>
      <c r="AC21" s="12">
        <f>AA21+AB21</f>
      </c>
      <c r="AD21" s="45"/>
      <c r="AE21" s="40">
        <v>46072</v>
      </c>
      <c r="AF21" s="43"/>
      <c r="AG21" s="12"/>
      <c r="AH21" s="12">
        <f>AF21+AG21</f>
      </c>
      <c r="AI21" s="45"/>
      <c r="AJ21" s="40">
        <v>46100</v>
      </c>
      <c r="AK21" s="43"/>
      <c r="AL21" s="12"/>
      <c r="AM21" s="12">
        <f>AK21+AL21</f>
      </c>
      <c r="AN21" s="46"/>
      <c r="AO21" s="40">
        <v>46131</v>
      </c>
      <c r="AP21" s="43"/>
      <c r="AQ21" s="12"/>
      <c r="AR21" s="12">
        <f>AP21+AQ21</f>
      </c>
    </row>
    <row x14ac:dyDescent="0.25" r="22" customHeight="1" ht="18">
      <c r="A22" s="40">
        <v>45889</v>
      </c>
      <c r="B22" s="49">
        <v>6575</v>
      </c>
      <c r="C22" s="50">
        <v>2000</v>
      </c>
      <c r="D22" s="12">
        <f>B22+C22</f>
      </c>
      <c r="E22" s="45"/>
      <c r="F22" s="40">
        <v>45920</v>
      </c>
      <c r="G22" s="48"/>
      <c r="H22" s="15"/>
      <c r="I22" s="12">
        <f>G22+H22</f>
      </c>
      <c r="J22" s="25"/>
      <c r="K22" s="40">
        <v>45950</v>
      </c>
      <c r="L22" s="43"/>
      <c r="M22" s="12"/>
      <c r="N22" s="12">
        <f>L22+M22</f>
      </c>
      <c r="O22" s="45"/>
      <c r="P22" s="40">
        <v>45981</v>
      </c>
      <c r="Q22" s="43"/>
      <c r="R22" s="12"/>
      <c r="S22" s="12">
        <f>Q22+R22</f>
      </c>
      <c r="T22" s="45"/>
      <c r="U22" s="40">
        <v>46011</v>
      </c>
      <c r="V22" s="43"/>
      <c r="W22" s="12"/>
      <c r="X22" s="12">
        <f>V22+W22</f>
      </c>
      <c r="Y22" s="45"/>
      <c r="Z22" s="40">
        <v>46042</v>
      </c>
      <c r="AA22" s="43"/>
      <c r="AB22" s="12"/>
      <c r="AC22" s="12">
        <f>AA22+AB22</f>
      </c>
      <c r="AD22" s="45"/>
      <c r="AE22" s="40">
        <v>46073</v>
      </c>
      <c r="AF22" s="43"/>
      <c r="AG22" s="12"/>
      <c r="AH22" s="12">
        <f>AF22+AG22</f>
      </c>
      <c r="AI22" s="45"/>
      <c r="AJ22" s="40">
        <v>46101</v>
      </c>
      <c r="AK22" s="43"/>
      <c r="AL22" s="12"/>
      <c r="AM22" s="12">
        <f>AK22+AL22</f>
      </c>
      <c r="AN22" s="46"/>
      <c r="AO22" s="40">
        <v>46132</v>
      </c>
      <c r="AP22" s="43"/>
      <c r="AQ22" s="12"/>
      <c r="AR22" s="12">
        <f>AP22+AQ22</f>
      </c>
    </row>
    <row x14ac:dyDescent="0.25" r="23" customHeight="1" ht="18">
      <c r="A23" s="40">
        <v>45890</v>
      </c>
      <c r="B23" s="12">
        <v>4450</v>
      </c>
      <c r="C23" s="41">
        <v>2500</v>
      </c>
      <c r="D23" s="12">
        <f>B23+C23</f>
      </c>
      <c r="E23" s="45"/>
      <c r="F23" s="40">
        <v>45921</v>
      </c>
      <c r="G23" s="48"/>
      <c r="H23" s="15"/>
      <c r="I23" s="12">
        <f>G23+H23</f>
      </c>
      <c r="J23" s="25"/>
      <c r="K23" s="40">
        <v>45951</v>
      </c>
      <c r="L23" s="43"/>
      <c r="M23" s="12"/>
      <c r="N23" s="12">
        <f>L23+M23</f>
      </c>
      <c r="O23" s="45"/>
      <c r="P23" s="40">
        <v>45982</v>
      </c>
      <c r="Q23" s="43"/>
      <c r="R23" s="12"/>
      <c r="S23" s="12">
        <f>Q23+R23</f>
      </c>
      <c r="T23" s="45"/>
      <c r="U23" s="40">
        <v>46012</v>
      </c>
      <c r="V23" s="43"/>
      <c r="W23" s="12"/>
      <c r="X23" s="12">
        <f>V23+W23</f>
      </c>
      <c r="Y23" s="45"/>
      <c r="Z23" s="40">
        <v>46043</v>
      </c>
      <c r="AA23" s="43"/>
      <c r="AB23" s="12"/>
      <c r="AC23" s="12">
        <f>AA23+AB23</f>
      </c>
      <c r="AD23" s="45"/>
      <c r="AE23" s="40">
        <v>46074</v>
      </c>
      <c r="AF23" s="43"/>
      <c r="AG23" s="12"/>
      <c r="AH23" s="12">
        <f>AF23+AG23</f>
      </c>
      <c r="AI23" s="45"/>
      <c r="AJ23" s="40">
        <v>46102</v>
      </c>
      <c r="AK23" s="43"/>
      <c r="AL23" s="12"/>
      <c r="AM23" s="12">
        <f>AK23+AL23</f>
      </c>
      <c r="AN23" s="46"/>
      <c r="AO23" s="40">
        <v>46133</v>
      </c>
      <c r="AP23" s="43"/>
      <c r="AQ23" s="12"/>
      <c r="AR23" s="12">
        <f>AP23+AQ23</f>
      </c>
    </row>
    <row x14ac:dyDescent="0.25" r="24" customHeight="1" ht="18">
      <c r="A24" s="40">
        <v>45891</v>
      </c>
      <c r="B24" s="12">
        <v>2680</v>
      </c>
      <c r="C24" s="41">
        <v>2900</v>
      </c>
      <c r="D24" s="12">
        <f>B24+C24</f>
      </c>
      <c r="E24" s="45"/>
      <c r="F24" s="40">
        <v>45922</v>
      </c>
      <c r="G24" s="48"/>
      <c r="H24" s="15"/>
      <c r="I24" s="12">
        <f>G24+H24</f>
      </c>
      <c r="J24" s="25"/>
      <c r="K24" s="40">
        <v>45952</v>
      </c>
      <c r="L24" s="43"/>
      <c r="M24" s="12"/>
      <c r="N24" s="12">
        <f>L24+M24</f>
      </c>
      <c r="O24" s="45"/>
      <c r="P24" s="40">
        <v>45983</v>
      </c>
      <c r="Q24" s="43"/>
      <c r="R24" s="12"/>
      <c r="S24" s="12">
        <f>Q24+R24</f>
      </c>
      <c r="T24" s="45"/>
      <c r="U24" s="40">
        <v>46013</v>
      </c>
      <c r="V24" s="43"/>
      <c r="W24" s="12"/>
      <c r="X24" s="12">
        <f>V24+W24</f>
      </c>
      <c r="Y24" s="45"/>
      <c r="Z24" s="40">
        <v>46044</v>
      </c>
      <c r="AA24" s="43"/>
      <c r="AB24" s="12"/>
      <c r="AC24" s="12">
        <f>AA24+AB24</f>
      </c>
      <c r="AD24" s="45"/>
      <c r="AE24" s="40">
        <v>46075</v>
      </c>
      <c r="AF24" s="43"/>
      <c r="AG24" s="12"/>
      <c r="AH24" s="12">
        <f>AF24+AG24</f>
      </c>
      <c r="AI24" s="45"/>
      <c r="AJ24" s="40">
        <v>46103</v>
      </c>
      <c r="AK24" s="43"/>
      <c r="AL24" s="12"/>
      <c r="AM24" s="12">
        <f>AK24+AL24</f>
      </c>
      <c r="AN24" s="46"/>
      <c r="AO24" s="40">
        <v>46134</v>
      </c>
      <c r="AP24" s="43"/>
      <c r="AQ24" s="12"/>
      <c r="AR24" s="12">
        <f>AP24+AQ24</f>
      </c>
    </row>
    <row x14ac:dyDescent="0.25" r="25" customHeight="1" ht="18">
      <c r="A25" s="40">
        <v>45892</v>
      </c>
      <c r="B25" s="12">
        <v>8188</v>
      </c>
      <c r="C25" s="41"/>
      <c r="D25" s="12">
        <f>B25+C25</f>
      </c>
      <c r="E25" s="45"/>
      <c r="F25" s="40">
        <v>45923</v>
      </c>
      <c r="G25" s="48"/>
      <c r="H25" s="15"/>
      <c r="I25" s="12">
        <f>G25+H25</f>
      </c>
      <c r="J25" s="25"/>
      <c r="K25" s="40">
        <v>45953</v>
      </c>
      <c r="L25" s="43"/>
      <c r="M25" s="12"/>
      <c r="N25" s="12">
        <f>L25+M25</f>
      </c>
      <c r="O25" s="45"/>
      <c r="P25" s="40">
        <v>45984</v>
      </c>
      <c r="Q25" s="43"/>
      <c r="R25" s="12"/>
      <c r="S25" s="12">
        <f>Q25+R25</f>
      </c>
      <c r="T25" s="45"/>
      <c r="U25" s="40">
        <v>46014</v>
      </c>
      <c r="V25" s="43"/>
      <c r="W25" s="12"/>
      <c r="X25" s="12">
        <f>V25+W25</f>
      </c>
      <c r="Y25" s="45"/>
      <c r="Z25" s="40">
        <v>46045</v>
      </c>
      <c r="AA25" s="43"/>
      <c r="AB25" s="12"/>
      <c r="AC25" s="12">
        <f>AA25+AB25</f>
      </c>
      <c r="AD25" s="45"/>
      <c r="AE25" s="40">
        <v>46076</v>
      </c>
      <c r="AF25" s="43"/>
      <c r="AG25" s="12"/>
      <c r="AH25" s="12">
        <f>AF25+AG25</f>
      </c>
      <c r="AI25" s="45"/>
      <c r="AJ25" s="40">
        <v>46104</v>
      </c>
      <c r="AK25" s="43"/>
      <c r="AL25" s="12"/>
      <c r="AM25" s="12">
        <f>AK25+AL25</f>
      </c>
      <c r="AN25" s="46"/>
      <c r="AO25" s="40">
        <v>46135</v>
      </c>
      <c r="AP25" s="43"/>
      <c r="AQ25" s="12"/>
      <c r="AR25" s="12">
        <f>AP25+AQ25</f>
      </c>
    </row>
    <row x14ac:dyDescent="0.25" r="26" customHeight="1" ht="18">
      <c r="A26" s="40">
        <v>45893</v>
      </c>
      <c r="B26" s="43"/>
      <c r="C26" s="41"/>
      <c r="D26" s="12">
        <f>B26+C26</f>
      </c>
      <c r="E26" s="45"/>
      <c r="F26" s="40">
        <v>45924</v>
      </c>
      <c r="G26" s="48"/>
      <c r="H26" s="15"/>
      <c r="I26" s="12">
        <f>G26+H26</f>
      </c>
      <c r="J26" s="25"/>
      <c r="K26" s="40">
        <v>45954</v>
      </c>
      <c r="L26" s="43"/>
      <c r="M26" s="12"/>
      <c r="N26" s="12">
        <f>L26+M26</f>
      </c>
      <c r="O26" s="45"/>
      <c r="P26" s="40">
        <v>45985</v>
      </c>
      <c r="Q26" s="43"/>
      <c r="R26" s="12"/>
      <c r="S26" s="12">
        <f>Q26+R26</f>
      </c>
      <c r="T26" s="45"/>
      <c r="U26" s="40">
        <v>46015</v>
      </c>
      <c r="V26" s="43"/>
      <c r="W26" s="12"/>
      <c r="X26" s="12">
        <f>V26+W26</f>
      </c>
      <c r="Y26" s="45"/>
      <c r="Z26" s="40">
        <v>46046</v>
      </c>
      <c r="AA26" s="43"/>
      <c r="AB26" s="12"/>
      <c r="AC26" s="12">
        <f>AA26+AB26</f>
      </c>
      <c r="AD26" s="45"/>
      <c r="AE26" s="40">
        <v>46077</v>
      </c>
      <c r="AF26" s="43"/>
      <c r="AG26" s="12"/>
      <c r="AH26" s="12">
        <f>AF26+AG26</f>
      </c>
      <c r="AI26" s="45"/>
      <c r="AJ26" s="40">
        <v>46105</v>
      </c>
      <c r="AK26" s="43"/>
      <c r="AL26" s="12"/>
      <c r="AM26" s="12">
        <f>AK26+AL26</f>
      </c>
      <c r="AN26" s="46"/>
      <c r="AO26" s="40">
        <v>46136</v>
      </c>
      <c r="AP26" s="43"/>
      <c r="AQ26" s="12"/>
      <c r="AR26" s="12">
        <f>AP26+AQ26</f>
      </c>
    </row>
    <row x14ac:dyDescent="0.25" r="27" customHeight="1" ht="18">
      <c r="A27" s="40">
        <v>45894</v>
      </c>
      <c r="B27" s="12">
        <v>10310</v>
      </c>
      <c r="C27" s="41">
        <v>3500</v>
      </c>
      <c r="D27" s="12">
        <f>B27+C27</f>
      </c>
      <c r="E27" s="45"/>
      <c r="F27" s="40">
        <v>45925</v>
      </c>
      <c r="G27" s="48"/>
      <c r="H27" s="15"/>
      <c r="I27" s="12">
        <f>G27+H27</f>
      </c>
      <c r="J27" s="25"/>
      <c r="K27" s="40">
        <v>45955</v>
      </c>
      <c r="L27" s="43"/>
      <c r="M27" s="12"/>
      <c r="N27" s="12">
        <f>L27+M27</f>
      </c>
      <c r="O27" s="45"/>
      <c r="P27" s="40">
        <v>45986</v>
      </c>
      <c r="Q27" s="43"/>
      <c r="R27" s="12"/>
      <c r="S27" s="12">
        <f>Q27+R27</f>
      </c>
      <c r="T27" s="45"/>
      <c r="U27" s="40">
        <v>46016</v>
      </c>
      <c r="V27" s="43"/>
      <c r="W27" s="12"/>
      <c r="X27" s="12">
        <f>V27+W27</f>
      </c>
      <c r="Y27" s="45"/>
      <c r="Z27" s="40">
        <v>46047</v>
      </c>
      <c r="AA27" s="43"/>
      <c r="AB27" s="12"/>
      <c r="AC27" s="12">
        <f>AA27+AB27</f>
      </c>
      <c r="AD27" s="45"/>
      <c r="AE27" s="40">
        <v>46078</v>
      </c>
      <c r="AF27" s="43"/>
      <c r="AG27" s="12"/>
      <c r="AH27" s="12">
        <f>AF27+AG27</f>
      </c>
      <c r="AI27" s="45"/>
      <c r="AJ27" s="40">
        <v>46106</v>
      </c>
      <c r="AK27" s="43"/>
      <c r="AL27" s="12"/>
      <c r="AM27" s="12">
        <f>AK27+AL27</f>
      </c>
      <c r="AN27" s="46"/>
      <c r="AO27" s="40">
        <v>46137</v>
      </c>
      <c r="AP27" s="43"/>
      <c r="AQ27" s="12"/>
      <c r="AR27" s="12">
        <f>AP27+AQ27</f>
      </c>
    </row>
    <row x14ac:dyDescent="0.25" r="28" customHeight="1" ht="18">
      <c r="A28" s="40">
        <v>45895</v>
      </c>
      <c r="B28" s="12">
        <v>14335</v>
      </c>
      <c r="C28" s="41"/>
      <c r="D28" s="12">
        <f>B28+C28</f>
      </c>
      <c r="E28" s="45"/>
      <c r="F28" s="40">
        <v>45926</v>
      </c>
      <c r="G28" s="48"/>
      <c r="H28" s="15"/>
      <c r="I28" s="12">
        <f>G28+H28</f>
      </c>
      <c r="J28" s="25"/>
      <c r="K28" s="40">
        <v>45956</v>
      </c>
      <c r="L28" s="43"/>
      <c r="M28" s="12"/>
      <c r="N28" s="12">
        <f>L28+M28</f>
      </c>
      <c r="O28" s="45"/>
      <c r="P28" s="40">
        <v>45987</v>
      </c>
      <c r="Q28" s="43"/>
      <c r="R28" s="12"/>
      <c r="S28" s="12">
        <f>Q28+R28</f>
      </c>
      <c r="T28" s="45"/>
      <c r="U28" s="40">
        <v>46017</v>
      </c>
      <c r="V28" s="43"/>
      <c r="W28" s="12"/>
      <c r="X28" s="12">
        <f>V28+W28</f>
      </c>
      <c r="Y28" s="45"/>
      <c r="Z28" s="40">
        <v>46048</v>
      </c>
      <c r="AA28" s="43"/>
      <c r="AB28" s="12"/>
      <c r="AC28" s="12">
        <f>AA28+AB28</f>
      </c>
      <c r="AD28" s="45"/>
      <c r="AE28" s="40">
        <v>46079</v>
      </c>
      <c r="AF28" s="43"/>
      <c r="AG28" s="12"/>
      <c r="AH28" s="12">
        <f>AF28+AG28</f>
      </c>
      <c r="AI28" s="45"/>
      <c r="AJ28" s="40">
        <v>46107</v>
      </c>
      <c r="AK28" s="43"/>
      <c r="AL28" s="12"/>
      <c r="AM28" s="12">
        <f>AK28+AL28</f>
      </c>
      <c r="AN28" s="46"/>
      <c r="AO28" s="40">
        <v>46138</v>
      </c>
      <c r="AP28" s="43"/>
      <c r="AQ28" s="12"/>
      <c r="AR28" s="12">
        <f>AP28+AQ28</f>
      </c>
    </row>
    <row x14ac:dyDescent="0.25" r="29" customHeight="1" ht="18">
      <c r="A29" s="40">
        <v>45896</v>
      </c>
      <c r="B29" s="12">
        <v>6110</v>
      </c>
      <c r="C29" s="41"/>
      <c r="D29" s="12">
        <f>B29+C29</f>
      </c>
      <c r="E29" s="45"/>
      <c r="F29" s="40">
        <v>45927</v>
      </c>
      <c r="G29" s="48"/>
      <c r="H29" s="15"/>
      <c r="I29" s="12">
        <f>G29+H29</f>
      </c>
      <c r="J29" s="25"/>
      <c r="K29" s="40">
        <v>45957</v>
      </c>
      <c r="L29" s="43"/>
      <c r="M29" s="12"/>
      <c r="N29" s="12">
        <f>L29+M29</f>
      </c>
      <c r="O29" s="45"/>
      <c r="P29" s="40">
        <v>45988</v>
      </c>
      <c r="Q29" s="43"/>
      <c r="R29" s="12"/>
      <c r="S29" s="12">
        <f>Q29+R29</f>
      </c>
      <c r="T29" s="45"/>
      <c r="U29" s="40">
        <v>46018</v>
      </c>
      <c r="V29" s="43"/>
      <c r="W29" s="12"/>
      <c r="X29" s="12">
        <f>V29+W29</f>
      </c>
      <c r="Y29" s="45"/>
      <c r="Z29" s="40">
        <v>46049</v>
      </c>
      <c r="AA29" s="43"/>
      <c r="AB29" s="12"/>
      <c r="AC29" s="12">
        <f>AA29+AB29</f>
      </c>
      <c r="AD29" s="45"/>
      <c r="AE29" s="40">
        <v>46080</v>
      </c>
      <c r="AF29" s="43"/>
      <c r="AG29" s="12"/>
      <c r="AH29" s="12">
        <f>AF29+AG29</f>
      </c>
      <c r="AI29" s="45"/>
      <c r="AJ29" s="40">
        <v>46108</v>
      </c>
      <c r="AK29" s="43"/>
      <c r="AL29" s="12"/>
      <c r="AM29" s="12">
        <f>AK29+AL29</f>
      </c>
      <c r="AN29" s="46"/>
      <c r="AO29" s="40">
        <v>46139</v>
      </c>
      <c r="AP29" s="43"/>
      <c r="AQ29" s="12"/>
      <c r="AR29" s="12">
        <f>AP29+AQ29</f>
      </c>
    </row>
    <row x14ac:dyDescent="0.25" r="30" customHeight="1" ht="18">
      <c r="A30" s="40">
        <v>45897</v>
      </c>
      <c r="B30" s="12">
        <v>4860</v>
      </c>
      <c r="C30" s="41"/>
      <c r="D30" s="12">
        <f>B30+C30</f>
      </c>
      <c r="E30" s="45"/>
      <c r="F30" s="40">
        <v>45928</v>
      </c>
      <c r="G30" s="48"/>
      <c r="H30" s="15"/>
      <c r="I30" s="12">
        <f>G30+H30</f>
      </c>
      <c r="J30" s="25"/>
      <c r="K30" s="40">
        <v>45958</v>
      </c>
      <c r="L30" s="43"/>
      <c r="M30" s="12"/>
      <c r="N30" s="12">
        <f>L30+M30</f>
      </c>
      <c r="O30" s="45"/>
      <c r="P30" s="40">
        <v>45989</v>
      </c>
      <c r="Q30" s="43"/>
      <c r="R30" s="12"/>
      <c r="S30" s="12">
        <f>Q30+R30</f>
      </c>
      <c r="T30" s="45"/>
      <c r="U30" s="40">
        <v>46019</v>
      </c>
      <c r="V30" s="43"/>
      <c r="W30" s="12"/>
      <c r="X30" s="12">
        <f>V30+W30</f>
      </c>
      <c r="Y30" s="45"/>
      <c r="Z30" s="40">
        <v>46050</v>
      </c>
      <c r="AA30" s="43"/>
      <c r="AB30" s="12"/>
      <c r="AC30" s="12">
        <f>AA30+AB30</f>
      </c>
      <c r="AD30" s="45"/>
      <c r="AE30" s="40">
        <v>46081</v>
      </c>
      <c r="AF30" s="43"/>
      <c r="AG30" s="12"/>
      <c r="AH30" s="12">
        <f>AF30+AG30</f>
      </c>
      <c r="AI30" s="45"/>
      <c r="AJ30" s="40">
        <v>46109</v>
      </c>
      <c r="AK30" s="43"/>
      <c r="AL30" s="12"/>
      <c r="AM30" s="12">
        <f>AK30+AL30</f>
      </c>
      <c r="AN30" s="46"/>
      <c r="AO30" s="40">
        <v>46140</v>
      </c>
      <c r="AP30" s="43"/>
      <c r="AQ30" s="12"/>
      <c r="AR30" s="12">
        <f>AP30+AQ30</f>
      </c>
    </row>
    <row x14ac:dyDescent="0.25" r="31" customHeight="1" ht="18">
      <c r="A31" s="40">
        <v>45898</v>
      </c>
      <c r="B31" s="12">
        <v>2803</v>
      </c>
      <c r="C31" s="41"/>
      <c r="D31" s="12">
        <f>B31+C31</f>
      </c>
      <c r="E31" s="45"/>
      <c r="F31" s="40">
        <v>45929</v>
      </c>
      <c r="G31" s="48"/>
      <c r="H31" s="15"/>
      <c r="I31" s="12">
        <f>G31+H31</f>
      </c>
      <c r="J31" s="25"/>
      <c r="K31" s="40">
        <v>45959</v>
      </c>
      <c r="L31" s="43"/>
      <c r="M31" s="12"/>
      <c r="N31" s="12">
        <f>L31+M31</f>
      </c>
      <c r="O31" s="45"/>
      <c r="P31" s="40">
        <v>45990</v>
      </c>
      <c r="Q31" s="43"/>
      <c r="R31" s="12"/>
      <c r="S31" s="12">
        <f>Q31+R31</f>
      </c>
      <c r="T31" s="45"/>
      <c r="U31" s="40">
        <v>46020</v>
      </c>
      <c r="V31" s="43"/>
      <c r="W31" s="12"/>
      <c r="X31" s="12">
        <f>V31+W31</f>
      </c>
      <c r="Y31" s="45"/>
      <c r="Z31" s="40">
        <v>46051</v>
      </c>
      <c r="AA31" s="43"/>
      <c r="AB31" s="12"/>
      <c r="AC31" s="12">
        <f>AA31+AB31</f>
      </c>
      <c r="AD31" s="45"/>
      <c r="AE31" s="40"/>
      <c r="AF31" s="43"/>
      <c r="AG31" s="12"/>
      <c r="AH31" s="12">
        <f>AF31+AG31</f>
      </c>
      <c r="AI31" s="45"/>
      <c r="AJ31" s="40">
        <v>46110</v>
      </c>
      <c r="AK31" s="43"/>
      <c r="AL31" s="12"/>
      <c r="AM31" s="12">
        <f>AK31+AL31</f>
      </c>
      <c r="AN31" s="46"/>
      <c r="AO31" s="40">
        <v>46141</v>
      </c>
      <c r="AP31" s="43"/>
      <c r="AQ31" s="12"/>
      <c r="AR31" s="12">
        <f>AP31+AQ31</f>
      </c>
    </row>
    <row x14ac:dyDescent="0.25" r="32" customHeight="1" ht="18">
      <c r="A32" s="40">
        <v>45899</v>
      </c>
      <c r="B32" s="12">
        <v>7773</v>
      </c>
      <c r="C32" s="41">
        <v>40500</v>
      </c>
      <c r="D32" s="12">
        <f>B32+C32</f>
      </c>
      <c r="E32" s="45"/>
      <c r="F32" s="40">
        <v>45930</v>
      </c>
      <c r="G32" s="48"/>
      <c r="H32" s="15"/>
      <c r="I32" s="12">
        <f>G32+H32</f>
      </c>
      <c r="J32" s="25"/>
      <c r="K32" s="40">
        <v>45960</v>
      </c>
      <c r="L32" s="43"/>
      <c r="M32" s="12"/>
      <c r="N32" s="12">
        <f>L32+M32</f>
      </c>
      <c r="O32" s="45"/>
      <c r="P32" s="51">
        <v>45991</v>
      </c>
      <c r="Q32" s="43"/>
      <c r="R32" s="12"/>
      <c r="S32" s="12">
        <f>Q32+R32</f>
      </c>
      <c r="T32" s="45"/>
      <c r="U32" s="40">
        <v>46021</v>
      </c>
      <c r="V32" s="43"/>
      <c r="W32" s="12"/>
      <c r="X32" s="12">
        <f>V32+W32</f>
      </c>
      <c r="Y32" s="45"/>
      <c r="Z32" s="40">
        <v>46052</v>
      </c>
      <c r="AA32" s="43"/>
      <c r="AB32" s="12"/>
      <c r="AC32" s="12">
        <f>AA32+AB32</f>
      </c>
      <c r="AD32" s="45"/>
      <c r="AE32" s="40"/>
      <c r="AF32" s="43"/>
      <c r="AG32" s="12"/>
      <c r="AH32" s="12">
        <f>AF32+AG32</f>
      </c>
      <c r="AI32" s="45"/>
      <c r="AJ32" s="40">
        <v>46111</v>
      </c>
      <c r="AK32" s="43"/>
      <c r="AL32" s="12"/>
      <c r="AM32" s="12">
        <f>AK32+AL32</f>
      </c>
      <c r="AN32" s="46"/>
      <c r="AO32" s="40">
        <v>46142</v>
      </c>
      <c r="AP32" s="43"/>
      <c r="AQ32" s="12"/>
      <c r="AR32" s="12">
        <f>AP32+AQ32</f>
      </c>
    </row>
    <row x14ac:dyDescent="0.25" r="33" customHeight="1" ht="18">
      <c r="A33" s="40">
        <v>45900</v>
      </c>
      <c r="B33" s="52"/>
      <c r="C33" s="50"/>
      <c r="D33" s="49">
        <f>B33+C33</f>
      </c>
      <c r="E33" s="45"/>
      <c r="F33" s="40"/>
      <c r="G33" s="53"/>
      <c r="H33" s="54"/>
      <c r="I33" s="49">
        <f>G33+H33</f>
      </c>
      <c r="J33" s="25"/>
      <c r="K33" s="40">
        <v>45961</v>
      </c>
      <c r="L33" s="43"/>
      <c r="M33" s="12"/>
      <c r="N33" s="12">
        <f>L33+M33</f>
      </c>
      <c r="O33" s="45"/>
      <c r="P33" s="51"/>
      <c r="Q33" s="43"/>
      <c r="R33" s="12"/>
      <c r="S33" s="12">
        <f>Q33+R33</f>
      </c>
      <c r="T33" s="45"/>
      <c r="U33" s="40">
        <v>46022</v>
      </c>
      <c r="V33" s="43"/>
      <c r="W33" s="12"/>
      <c r="X33" s="12">
        <f>V33+W33</f>
      </c>
      <c r="Y33" s="45"/>
      <c r="Z33" s="40">
        <v>46053</v>
      </c>
      <c r="AA33" s="43"/>
      <c r="AB33" s="12"/>
      <c r="AC33" s="12">
        <f>AA33+AB33</f>
      </c>
      <c r="AD33" s="45"/>
      <c r="AE33" s="40"/>
      <c r="AF33" s="43"/>
      <c r="AG33" s="12"/>
      <c r="AH33" s="12">
        <f>AF33+AG33</f>
      </c>
      <c r="AI33" s="45"/>
      <c r="AJ33" s="40">
        <v>46112</v>
      </c>
      <c r="AK33" s="43"/>
      <c r="AL33" s="12"/>
      <c r="AM33" s="12">
        <f>AK33+AL33</f>
      </c>
      <c r="AN33" s="46"/>
      <c r="AO33" s="40"/>
      <c r="AP33" s="43"/>
      <c r="AQ33" s="12"/>
      <c r="AR33" s="12">
        <f>AP33+AQ33</f>
      </c>
    </row>
    <row x14ac:dyDescent="0.25" r="34" customHeight="1" ht="18">
      <c r="A34" s="55"/>
      <c r="B34" s="48"/>
      <c r="C34" s="15"/>
      <c r="D34" s="15"/>
      <c r="E34" s="56"/>
      <c r="F34" s="57"/>
      <c r="G34" s="48"/>
      <c r="H34" s="12"/>
      <c r="I34" s="12"/>
      <c r="J34" s="56"/>
      <c r="K34" s="58"/>
      <c r="L34" s="59"/>
      <c r="M34" s="9"/>
      <c r="N34" s="12">
        <f>L34+M34</f>
      </c>
      <c r="O34" s="56"/>
      <c r="P34" s="58"/>
      <c r="Q34" s="59"/>
      <c r="R34" s="9"/>
      <c r="S34" s="12">
        <f>Q34+R34</f>
      </c>
      <c r="T34" s="56"/>
      <c r="U34" s="58"/>
      <c r="V34" s="59"/>
      <c r="W34" s="9"/>
      <c r="X34" s="12">
        <f>V34+W34</f>
      </c>
      <c r="Y34" s="56"/>
      <c r="Z34" s="58"/>
      <c r="AA34" s="59"/>
      <c r="AB34" s="9"/>
      <c r="AC34" s="12">
        <f>AA34+AB34</f>
      </c>
      <c r="AD34" s="56"/>
      <c r="AE34" s="58"/>
      <c r="AF34" s="59"/>
      <c r="AG34" s="9"/>
      <c r="AH34" s="12">
        <f>AF34+AG34</f>
      </c>
      <c r="AI34" s="56"/>
      <c r="AJ34" s="58"/>
      <c r="AK34" s="59"/>
      <c r="AL34" s="9"/>
      <c r="AM34" s="12">
        <f>AK34+AL34</f>
      </c>
      <c r="AN34" s="60"/>
      <c r="AO34" s="58"/>
      <c r="AP34" s="59"/>
      <c r="AQ34" s="9"/>
      <c r="AR34" s="12">
        <f>AP34+AQ34</f>
      </c>
    </row>
    <row x14ac:dyDescent="0.25" r="35" customHeight="1" ht="18">
      <c r="A35" s="58"/>
      <c r="B35" s="61">
        <f>SUM(B3:B33)</f>
      </c>
      <c r="C35" s="62">
        <f>SUM(C3:C33)</f>
      </c>
      <c r="D35" s="61">
        <f>SUM(D3:D33)</f>
      </c>
      <c r="E35" s="56"/>
      <c r="F35" s="58"/>
      <c r="G35" s="9">
        <f>SUM(G3:G34)</f>
      </c>
      <c r="H35" s="9">
        <f>SUM(H3:H34)</f>
      </c>
      <c r="I35" s="9">
        <f>SUM(G35:H35)</f>
      </c>
      <c r="J35" s="56"/>
      <c r="K35" s="57"/>
      <c r="L35" s="9">
        <f>SUM(L3:L34)</f>
      </c>
      <c r="M35" s="9">
        <f>SUM(M3:M34)</f>
      </c>
      <c r="N35" s="9">
        <f>SUM(N3:N34)</f>
      </c>
      <c r="O35" s="56"/>
      <c r="P35" s="58"/>
      <c r="Q35" s="9">
        <f>SUM(Q3:Q34)</f>
      </c>
      <c r="R35" s="9">
        <f>SUM(R3:R34)</f>
      </c>
      <c r="S35" s="9">
        <f>SUM(S3:S34)</f>
      </c>
      <c r="T35" s="56"/>
      <c r="U35" s="58"/>
      <c r="V35" s="9">
        <f>SUM(V3:V34)</f>
      </c>
      <c r="W35" s="9">
        <f>SUM(W3:W34)</f>
      </c>
      <c r="X35" s="9">
        <f>SUM(X3:X34)</f>
      </c>
      <c r="Y35" s="56"/>
      <c r="Z35" s="58"/>
      <c r="AA35" s="9">
        <f>SUM(AA3:AA34)</f>
      </c>
      <c r="AB35" s="9">
        <f>SUM(AB3:AB34)</f>
      </c>
      <c r="AC35" s="9">
        <f>SUM(AC3:AC34)</f>
      </c>
      <c r="AD35" s="56"/>
      <c r="AE35" s="58"/>
      <c r="AF35" s="9">
        <f>SUM(AF3:AF34)</f>
      </c>
      <c r="AG35" s="9">
        <f>SUM(AG3:AG34)</f>
      </c>
      <c r="AH35" s="9">
        <f>SUM(AH3:AH34)</f>
      </c>
      <c r="AI35" s="56"/>
      <c r="AJ35" s="58"/>
      <c r="AK35" s="9">
        <f>SUM(AK3:AK34)</f>
      </c>
      <c r="AL35" s="9">
        <f>SUM(AL3:AL34)</f>
      </c>
      <c r="AM35" s="9">
        <f>SUM(AM3:AM34)</f>
      </c>
      <c r="AN35" s="60">
        <f>SUM(AM35)</f>
      </c>
      <c r="AO35" s="58"/>
      <c r="AP35" s="9">
        <f>SUM(AP3:AP34)</f>
      </c>
      <c r="AQ35" s="9">
        <f>SUM(AQ3:AQ34)</f>
      </c>
      <c r="AR35" s="9">
        <f>SUM(AR3:AR34)</f>
      </c>
    </row>
    <row x14ac:dyDescent="0.25" r="36" customHeight="1" ht="18">
      <c r="A36" s="58" t="s">
        <v>55</v>
      </c>
      <c r="B36" s="63"/>
      <c r="C36" s="9">
        <v>600000</v>
      </c>
      <c r="D36" s="64">
        <f>C36-D35</f>
      </c>
      <c r="E36" s="56"/>
      <c r="F36" s="58" t="s">
        <v>55</v>
      </c>
      <c r="G36" s="59"/>
      <c r="H36" s="9">
        <v>650000</v>
      </c>
      <c r="I36" s="64">
        <f>H36-I35</f>
      </c>
      <c r="J36" s="25"/>
      <c r="K36" s="65" t="s">
        <v>55</v>
      </c>
      <c r="L36" s="43"/>
      <c r="M36" s="9">
        <v>650000</v>
      </c>
      <c r="N36" s="64">
        <f>M36-N35</f>
      </c>
      <c r="O36" s="45"/>
      <c r="P36" s="58" t="s">
        <v>55</v>
      </c>
      <c r="Q36" s="43"/>
      <c r="R36" s="9">
        <v>650000</v>
      </c>
      <c r="S36" s="64">
        <f>R36-S35</f>
      </c>
      <c r="T36" s="66"/>
      <c r="U36" s="58" t="s">
        <v>55</v>
      </c>
      <c r="V36" s="43"/>
      <c r="W36" s="9">
        <v>650000</v>
      </c>
      <c r="X36" s="64">
        <f>W36-X35</f>
      </c>
      <c r="Y36" s="45"/>
      <c r="Z36" s="58" t="s">
        <v>55</v>
      </c>
      <c r="AA36" s="43"/>
      <c r="AB36" s="9">
        <v>650000</v>
      </c>
      <c r="AC36" s="64">
        <f>AB36-AC35</f>
      </c>
      <c r="AD36" s="45"/>
      <c r="AE36" s="58" t="s">
        <v>55</v>
      </c>
      <c r="AF36" s="43"/>
      <c r="AG36" s="9">
        <v>650000</v>
      </c>
      <c r="AH36" s="64">
        <f>AG36-AH35</f>
      </c>
      <c r="AI36" s="45"/>
      <c r="AJ36" s="58" t="s">
        <v>55</v>
      </c>
      <c r="AK36" s="43"/>
      <c r="AL36" s="9">
        <v>650000</v>
      </c>
      <c r="AM36" s="64">
        <f>AL36-AM35</f>
      </c>
      <c r="AN36" s="46"/>
      <c r="AO36" s="58" t="s">
        <v>55</v>
      </c>
      <c r="AP36" s="43"/>
      <c r="AQ36" s="9">
        <v>650000</v>
      </c>
      <c r="AR36" s="64">
        <f>AQ36-AR35</f>
      </c>
    </row>
    <row x14ac:dyDescent="0.25" r="37" customHeight="1" ht="18">
      <c r="A37" s="67"/>
      <c r="B37" s="43"/>
      <c r="C37" s="68"/>
      <c r="D37" s="12"/>
      <c r="E37" s="45"/>
      <c r="F37" s="57"/>
      <c r="G37" s="48"/>
      <c r="H37" s="15"/>
      <c r="I37" s="15"/>
      <c r="J37" s="25"/>
      <c r="K37" s="57"/>
      <c r="L37" s="43"/>
      <c r="M37" s="12"/>
      <c r="N37" s="12"/>
      <c r="O37" s="45"/>
      <c r="P37" s="67"/>
      <c r="Q37" s="43"/>
      <c r="R37" s="12"/>
      <c r="S37" s="12"/>
      <c r="T37" s="42"/>
      <c r="U37" s="67"/>
      <c r="V37" s="43"/>
      <c r="W37" s="12"/>
      <c r="X37" s="12"/>
      <c r="Y37" s="45"/>
      <c r="Z37" s="67"/>
      <c r="AA37" s="43"/>
      <c r="AB37" s="12"/>
      <c r="AC37" s="12"/>
      <c r="AD37" s="45"/>
      <c r="AE37" s="67"/>
      <c r="AF37" s="43"/>
      <c r="AG37" s="12"/>
      <c r="AH37" s="12"/>
      <c r="AI37" s="45"/>
      <c r="AJ37" s="67"/>
      <c r="AK37" s="43"/>
      <c r="AL37" s="12"/>
      <c r="AM37" s="12"/>
      <c r="AN37" s="46"/>
      <c r="AO37" s="67"/>
      <c r="AP37" s="43"/>
      <c r="AQ37" s="12"/>
      <c r="AR37" s="12"/>
    </row>
    <row x14ac:dyDescent="0.25" r="38" customHeight="1" ht="18">
      <c r="A38" s="58" t="s">
        <v>56</v>
      </c>
      <c r="B38" s="59">
        <f>B35/80</f>
      </c>
      <c r="C38" s="41"/>
      <c r="D38" s="12"/>
      <c r="E38" s="45"/>
      <c r="F38" s="58" t="s">
        <v>56</v>
      </c>
      <c r="G38" s="69">
        <f>G35/80</f>
      </c>
      <c r="H38" s="15"/>
      <c r="I38" s="15"/>
      <c r="J38" s="25"/>
      <c r="K38" s="58" t="s">
        <v>56</v>
      </c>
      <c r="L38" s="69">
        <f>L35/80</f>
      </c>
      <c r="M38" s="15"/>
      <c r="N38" s="15"/>
      <c r="O38" s="25"/>
      <c r="P38" s="58" t="s">
        <v>56</v>
      </c>
      <c r="Q38" s="69">
        <f>Q35/80</f>
      </c>
      <c r="R38" s="15"/>
      <c r="S38" s="15"/>
      <c r="T38" s="70"/>
      <c r="U38" s="58" t="s">
        <v>56</v>
      </c>
      <c r="V38" s="69">
        <f>V35/80</f>
      </c>
      <c r="W38" s="15"/>
      <c r="X38" s="15"/>
      <c r="Y38" s="25"/>
      <c r="Z38" s="58" t="s">
        <v>56</v>
      </c>
      <c r="AA38" s="69">
        <f>AA35/80</f>
      </c>
      <c r="AB38" s="15"/>
      <c r="AC38" s="15"/>
      <c r="AD38" s="25"/>
      <c r="AE38" s="58" t="s">
        <v>56</v>
      </c>
      <c r="AF38" s="69">
        <f>AF35/80</f>
      </c>
      <c r="AG38" s="15"/>
      <c r="AH38" s="15"/>
      <c r="AI38" s="25"/>
      <c r="AJ38" s="58" t="s">
        <v>56</v>
      </c>
      <c r="AK38" s="69">
        <f>AK35/80</f>
      </c>
      <c r="AL38" s="15"/>
      <c r="AM38" s="15"/>
      <c r="AN38" s="28"/>
      <c r="AO38" s="58" t="s">
        <v>56</v>
      </c>
      <c r="AP38" s="69">
        <f>AP35/80</f>
      </c>
      <c r="AQ38" s="15"/>
      <c r="AR38" s="15"/>
    </row>
    <row x14ac:dyDescent="0.25" r="39" customHeight="1" ht="18">
      <c r="A39" s="67"/>
      <c r="B39" s="43"/>
      <c r="C39" s="41"/>
      <c r="D39" s="12"/>
      <c r="E39" s="45"/>
      <c r="F39" s="57"/>
      <c r="G39" s="48"/>
      <c r="H39" s="15"/>
      <c r="I39" s="15"/>
      <c r="J39" s="25"/>
      <c r="K39" s="57"/>
      <c r="L39" s="48"/>
      <c r="M39" s="15"/>
      <c r="N39" s="15"/>
      <c r="O39" s="25"/>
      <c r="P39" s="57"/>
      <c r="Q39" s="48"/>
      <c r="R39" s="15"/>
      <c r="S39" s="15"/>
      <c r="T39" s="70"/>
      <c r="U39" s="57"/>
      <c r="V39" s="48"/>
      <c r="W39" s="15"/>
      <c r="X39" s="15"/>
      <c r="Y39" s="25"/>
      <c r="Z39" s="57"/>
      <c r="AA39" s="48"/>
      <c r="AB39" s="15"/>
      <c r="AC39" s="15"/>
      <c r="AD39" s="25"/>
      <c r="AE39" s="57"/>
      <c r="AF39" s="48"/>
      <c r="AG39" s="15"/>
      <c r="AH39" s="15"/>
      <c r="AI39" s="25"/>
      <c r="AJ39" s="57"/>
      <c r="AK39" s="48"/>
      <c r="AL39" s="15"/>
      <c r="AM39" s="15"/>
      <c r="AN39" s="28"/>
      <c r="AO39" s="57"/>
      <c r="AP39" s="48"/>
      <c r="AQ39" s="15"/>
      <c r="AR39" s="15"/>
    </row>
    <row x14ac:dyDescent="0.25" r="40" customHeight="1" ht="18">
      <c r="A40" s="71"/>
      <c r="B40" s="72"/>
      <c r="C40" s="73"/>
      <c r="D40" s="73"/>
      <c r="E40" s="74"/>
      <c r="F40" s="75"/>
      <c r="G40" s="23"/>
      <c r="H40" s="11"/>
      <c r="I40" s="11"/>
      <c r="J40" s="7"/>
      <c r="K40" s="75"/>
      <c r="L40" s="23"/>
      <c r="M40" s="11"/>
      <c r="N40" s="11"/>
      <c r="O40" s="7"/>
      <c r="P40" s="75"/>
      <c r="Q40" s="23"/>
      <c r="R40" s="11"/>
      <c r="S40" s="11"/>
      <c r="T40" s="7"/>
      <c r="U40" s="75"/>
      <c r="V40" s="23"/>
      <c r="W40" s="11"/>
      <c r="X40" s="11"/>
      <c r="Y40" s="7"/>
      <c r="Z40" s="75"/>
      <c r="AA40" s="23"/>
      <c r="AB40" s="11"/>
      <c r="AC40" s="11"/>
      <c r="AD40" s="7"/>
      <c r="AE40" s="75"/>
      <c r="AF40" s="23"/>
      <c r="AG40" s="11"/>
      <c r="AH40" s="11"/>
      <c r="AI40" s="7"/>
      <c r="AJ40" s="75"/>
      <c r="AK40" s="23"/>
      <c r="AL40" s="11"/>
      <c r="AM40" s="11"/>
      <c r="AN40" s="11"/>
      <c r="AO40" s="75"/>
      <c r="AP40" s="23"/>
      <c r="AQ40" s="11"/>
      <c r="AR40" s="11"/>
    </row>
    <row x14ac:dyDescent="0.25" r="41" customHeight="1" ht="18">
      <c r="A41" s="71"/>
      <c r="B41" s="72"/>
      <c r="C41" s="73"/>
      <c r="D41" s="73"/>
      <c r="E41" s="74"/>
      <c r="F41" s="75"/>
      <c r="G41" s="23"/>
      <c r="H41" s="11"/>
      <c r="I41" s="11"/>
      <c r="J41" s="7"/>
      <c r="K41" s="75"/>
      <c r="L41" s="23"/>
      <c r="M41" s="11"/>
      <c r="N41" s="11"/>
      <c r="O41" s="7"/>
      <c r="P41" s="75"/>
      <c r="Q41" s="23"/>
      <c r="R41" s="11"/>
      <c r="S41" s="11"/>
      <c r="T41" s="7"/>
      <c r="U41" s="75"/>
      <c r="V41" s="23"/>
      <c r="W41" s="11"/>
      <c r="X41" s="11"/>
      <c r="Y41" s="7"/>
      <c r="Z41" s="75"/>
      <c r="AA41" s="23"/>
      <c r="AB41" s="11"/>
      <c r="AC41" s="11"/>
      <c r="AD41" s="7"/>
      <c r="AE41" s="75"/>
      <c r="AF41" s="23"/>
      <c r="AG41" s="11"/>
      <c r="AH41" s="11"/>
      <c r="AI41" s="7"/>
      <c r="AJ41" s="75"/>
      <c r="AK41" s="23"/>
      <c r="AL41" s="11"/>
      <c r="AM41" s="11"/>
      <c r="AN41" s="11"/>
      <c r="AO41" s="75"/>
      <c r="AP41" s="23"/>
      <c r="AQ41" s="11"/>
      <c r="AR41" s="11"/>
    </row>
    <row x14ac:dyDescent="0.25" r="42" customHeight="1" ht="18">
      <c r="A42" s="71"/>
      <c r="B42" s="72"/>
      <c r="C42" s="73"/>
      <c r="D42" s="73"/>
      <c r="E42" s="74"/>
      <c r="F42" s="75"/>
      <c r="G42" s="23"/>
      <c r="H42" s="11"/>
      <c r="I42" s="11"/>
      <c r="J42" s="7"/>
      <c r="K42" s="75"/>
      <c r="L42" s="23"/>
      <c r="M42" s="11"/>
      <c r="N42" s="11"/>
      <c r="O42" s="7"/>
      <c r="P42" s="75"/>
      <c r="Q42" s="23"/>
      <c r="R42" s="11"/>
      <c r="S42" s="11"/>
      <c r="T42" s="7"/>
      <c r="U42" s="75"/>
      <c r="V42" s="23"/>
      <c r="W42" s="11"/>
      <c r="X42" s="11"/>
      <c r="Y42" s="7"/>
      <c r="Z42" s="75"/>
      <c r="AA42" s="23"/>
      <c r="AB42" s="11"/>
      <c r="AC42" s="11"/>
      <c r="AD42" s="7"/>
      <c r="AE42" s="75"/>
      <c r="AF42" s="23"/>
      <c r="AG42" s="11"/>
      <c r="AH42" s="11"/>
      <c r="AI42" s="7"/>
      <c r="AJ42" s="75"/>
      <c r="AK42" s="23"/>
      <c r="AL42" s="11"/>
      <c r="AM42" s="11"/>
      <c r="AN42" s="11"/>
      <c r="AO42" s="75"/>
      <c r="AP42" s="23"/>
      <c r="AQ42" s="11"/>
      <c r="AR42" s="11"/>
    </row>
    <row x14ac:dyDescent="0.25" r="43" customHeight="1" ht="18">
      <c r="A43" s="71"/>
      <c r="B43" s="72"/>
      <c r="C43" s="73"/>
      <c r="D43" s="73"/>
      <c r="E43" s="74"/>
      <c r="F43" s="75"/>
      <c r="G43" s="23"/>
      <c r="H43" s="11"/>
      <c r="I43" s="11"/>
      <c r="J43" s="7"/>
      <c r="K43" s="75"/>
      <c r="L43" s="23"/>
      <c r="M43" s="11"/>
      <c r="N43" s="11"/>
      <c r="O43" s="7"/>
      <c r="P43" s="75"/>
      <c r="Q43" s="23"/>
      <c r="R43" s="11"/>
      <c r="S43" s="11"/>
      <c r="T43" s="7"/>
      <c r="U43" s="75"/>
      <c r="V43" s="23"/>
      <c r="W43" s="11"/>
      <c r="X43" s="11"/>
      <c r="Y43" s="7"/>
      <c r="Z43" s="75"/>
      <c r="AA43" s="23"/>
      <c r="AB43" s="11"/>
      <c r="AC43" s="11"/>
      <c r="AD43" s="7"/>
      <c r="AE43" s="75"/>
      <c r="AF43" s="23"/>
      <c r="AG43" s="11"/>
      <c r="AH43" s="11"/>
      <c r="AI43" s="7"/>
      <c r="AJ43" s="75"/>
      <c r="AK43" s="23"/>
      <c r="AL43" s="11"/>
      <c r="AM43" s="11"/>
      <c r="AN43" s="11"/>
      <c r="AO43" s="75"/>
      <c r="AP43" s="23"/>
      <c r="AQ43" s="11"/>
      <c r="AR43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6" width="15.43357142857143" customWidth="1" bestFit="1"/>
    <col min="2" max="2" style="16" width="38.57642857142857" customWidth="1" bestFit="1"/>
    <col min="3" max="3" style="16" width="26.576428571428572" customWidth="1" bestFit="1"/>
    <col min="4" max="4" style="16" width="25.433571428571426" customWidth="1" bestFit="1"/>
    <col min="5" max="5" style="17" width="9.43357142857143" customWidth="1" bestFit="1"/>
    <col min="6" max="6" style="16" width="29.719285714285714" customWidth="1" bestFit="1"/>
    <col min="7" max="7" style="16" width="13.005" customWidth="1" bestFit="1"/>
    <col min="8" max="8" style="16" width="13.005" customWidth="1" bestFit="1"/>
    <col min="9" max="9" style="18" width="58.29071428571429" customWidth="1" bestFit="1"/>
  </cols>
  <sheetData>
    <row x14ac:dyDescent="0.25" r="1" customHeight="1" ht="18">
      <c r="A1" s="5"/>
      <c r="B1" s="5" t="s">
        <v>16</v>
      </c>
      <c r="C1" s="5" t="s">
        <v>17</v>
      </c>
      <c r="D1" s="5"/>
      <c r="E1" s="6" t="s">
        <v>18</v>
      </c>
      <c r="F1" s="5" t="s">
        <v>2</v>
      </c>
      <c r="G1" s="7"/>
      <c r="H1" s="7"/>
      <c r="I1" s="8"/>
    </row>
    <row x14ac:dyDescent="0.25" r="2" customHeight="1" ht="18">
      <c r="A2" s="3"/>
      <c r="B2" s="2" t="s">
        <v>19</v>
      </c>
      <c r="C2" s="2" t="s">
        <v>3</v>
      </c>
      <c r="D2" s="7"/>
      <c r="E2" s="9">
        <v>25000</v>
      </c>
      <c r="F2" s="3"/>
      <c r="G2" s="7"/>
      <c r="H2" s="7"/>
      <c r="I2" s="8"/>
    </row>
    <row x14ac:dyDescent="0.25" r="3" customHeight="1" ht="18">
      <c r="A3" s="3"/>
      <c r="B3" s="2" t="s">
        <v>20</v>
      </c>
      <c r="C3" s="2" t="s">
        <v>21</v>
      </c>
      <c r="D3" s="2"/>
      <c r="E3" s="9">
        <v>40000</v>
      </c>
      <c r="F3" s="3"/>
      <c r="G3" s="7"/>
      <c r="H3" s="7"/>
      <c r="I3" s="10"/>
    </row>
    <row x14ac:dyDescent="0.25" r="4" customHeight="1" ht="18">
      <c r="A4" s="3"/>
      <c r="B4" s="2" t="s">
        <v>22</v>
      </c>
      <c r="C4" s="2" t="s">
        <v>23</v>
      </c>
      <c r="D4" s="2"/>
      <c r="E4" s="9">
        <v>13500</v>
      </c>
      <c r="F4" s="3"/>
      <c r="G4" s="7"/>
      <c r="H4" s="7"/>
      <c r="I4" s="8"/>
    </row>
    <row x14ac:dyDescent="0.25" r="5" customHeight="1" ht="18">
      <c r="A5" s="3"/>
      <c r="B5" s="2" t="s">
        <v>22</v>
      </c>
      <c r="C5" s="2" t="s">
        <v>24</v>
      </c>
      <c r="D5" s="2"/>
      <c r="E5" s="9">
        <v>13500</v>
      </c>
      <c r="F5" s="3"/>
      <c r="G5" s="7"/>
      <c r="H5" s="7"/>
      <c r="I5" s="8"/>
    </row>
    <row x14ac:dyDescent="0.25" r="6" customHeight="1" ht="18">
      <c r="A6" s="3"/>
      <c r="B6" s="2" t="s">
        <v>25</v>
      </c>
      <c r="C6" s="2" t="s">
        <v>26</v>
      </c>
      <c r="D6" s="2"/>
      <c r="E6" s="9">
        <v>13500</v>
      </c>
      <c r="F6" s="3"/>
      <c r="G6" s="7"/>
      <c r="H6" s="7"/>
      <c r="I6" s="8"/>
    </row>
    <row x14ac:dyDescent="0.25" r="7" customHeight="1" ht="18">
      <c r="A7" s="3"/>
      <c r="B7" s="2" t="s">
        <v>27</v>
      </c>
      <c r="C7" s="2" t="s">
        <v>28</v>
      </c>
      <c r="D7" s="2"/>
      <c r="E7" s="9">
        <v>10000</v>
      </c>
      <c r="F7" s="3"/>
      <c r="G7" s="7"/>
      <c r="H7" s="7"/>
      <c r="I7" s="8"/>
    </row>
    <row x14ac:dyDescent="0.25" r="8" customHeight="1" ht="18">
      <c r="A8" s="3"/>
      <c r="B8" s="2" t="s">
        <v>29</v>
      </c>
      <c r="C8" s="2" t="s">
        <v>30</v>
      </c>
      <c r="D8" s="2"/>
      <c r="E8" s="9">
        <v>15000</v>
      </c>
      <c r="F8" s="3"/>
      <c r="G8" s="7"/>
      <c r="H8" s="7"/>
      <c r="I8" s="8"/>
    </row>
    <row x14ac:dyDescent="0.25" r="9" customHeight="1" ht="18">
      <c r="A9" s="3"/>
      <c r="B9" s="2" t="s">
        <v>31</v>
      </c>
      <c r="C9" s="2" t="s">
        <v>32</v>
      </c>
      <c r="D9" s="2"/>
      <c r="E9" s="9">
        <v>30000</v>
      </c>
      <c r="F9" s="3"/>
      <c r="G9" s="7"/>
      <c r="H9" s="7"/>
      <c r="I9" s="8"/>
    </row>
    <row x14ac:dyDescent="0.25" r="10" customHeight="1" ht="18">
      <c r="A10" s="3"/>
      <c r="B10" s="2" t="s">
        <v>33</v>
      </c>
      <c r="C10" s="2" t="s">
        <v>34</v>
      </c>
      <c r="D10" s="2"/>
      <c r="E10" s="9">
        <v>20000</v>
      </c>
      <c r="F10" s="3"/>
      <c r="G10" s="7"/>
      <c r="H10" s="7"/>
      <c r="I10" s="8"/>
    </row>
    <row x14ac:dyDescent="0.25" r="11" customHeight="1" ht="18">
      <c r="A11" s="3"/>
      <c r="B11" s="2" t="s">
        <v>35</v>
      </c>
      <c r="C11" s="2" t="s">
        <v>36</v>
      </c>
      <c r="D11" s="2"/>
      <c r="E11" s="9">
        <v>80000</v>
      </c>
      <c r="F11" s="3"/>
      <c r="G11" s="7"/>
      <c r="H11" s="7"/>
      <c r="I11" s="8"/>
    </row>
    <row x14ac:dyDescent="0.25" r="12" customHeight="1" ht="18">
      <c r="A12" s="3"/>
      <c r="B12" s="2" t="s">
        <v>37</v>
      </c>
      <c r="C12" s="2" t="s">
        <v>38</v>
      </c>
      <c r="D12" s="2"/>
      <c r="E12" s="9">
        <v>100000</v>
      </c>
      <c r="F12" s="3"/>
      <c r="G12" s="7"/>
      <c r="H12" s="7"/>
      <c r="I12" s="8"/>
    </row>
    <row x14ac:dyDescent="0.25" r="13" customHeight="1" ht="18">
      <c r="A13" s="3"/>
      <c r="B13" s="3" t="s">
        <v>39</v>
      </c>
      <c r="C13" s="3"/>
      <c r="D13" s="3"/>
      <c r="E13" s="11"/>
      <c r="F13" s="3"/>
      <c r="G13" s="7"/>
      <c r="H13" s="7"/>
      <c r="I13" s="8"/>
    </row>
    <row x14ac:dyDescent="0.25" r="14" customHeight="1" ht="18">
      <c r="A14" s="3"/>
      <c r="B14" s="3"/>
      <c r="C14" s="3"/>
      <c r="D14" s="3"/>
      <c r="E14" s="12"/>
      <c r="F14" s="3"/>
      <c r="G14" s="7"/>
      <c r="H14" s="7"/>
      <c r="I14" s="8"/>
    </row>
    <row x14ac:dyDescent="0.25" r="15" customHeight="1" ht="18">
      <c r="A15" s="3"/>
      <c r="B15" s="3"/>
      <c r="C15" s="3"/>
      <c r="D15" s="3"/>
      <c r="E15" s="12"/>
      <c r="F15" s="3"/>
      <c r="G15" s="7"/>
      <c r="H15" s="7"/>
      <c r="I15" s="8"/>
    </row>
    <row x14ac:dyDescent="0.25" r="16" customHeight="1" ht="18">
      <c r="A16" s="3"/>
      <c r="B16" s="2" t="s">
        <v>40</v>
      </c>
      <c r="C16" s="3"/>
      <c r="D16" s="3"/>
      <c r="E16" s="9">
        <f>SUM(E2:E12)</f>
      </c>
      <c r="F16" s="3"/>
      <c r="G16" s="7"/>
      <c r="H16" s="7"/>
      <c r="I16" s="8"/>
    </row>
    <row x14ac:dyDescent="0.25" r="17" customHeight="1" ht="18">
      <c r="A17" s="3"/>
      <c r="B17" s="3"/>
      <c r="C17" s="3"/>
      <c r="D17" s="3"/>
      <c r="E17" s="12"/>
      <c r="F17" s="3"/>
      <c r="G17" s="7"/>
      <c r="H17" s="7"/>
      <c r="I17" s="8"/>
    </row>
    <row x14ac:dyDescent="0.25" r="18" customHeight="1" ht="18">
      <c r="A18" s="3"/>
      <c r="B18" s="3"/>
      <c r="C18" s="3"/>
      <c r="D18" s="3"/>
      <c r="E18" s="12"/>
      <c r="F18" s="3"/>
      <c r="G18" s="7"/>
      <c r="H18" s="7"/>
      <c r="I18" s="10" t="s">
        <v>41</v>
      </c>
    </row>
    <row x14ac:dyDescent="0.25" r="19" customHeight="1" ht="18">
      <c r="A19" s="3"/>
      <c r="B19" s="3"/>
      <c r="C19" s="3"/>
      <c r="D19" s="3"/>
      <c r="E19" s="12"/>
      <c r="F19" s="3"/>
      <c r="G19" s="7"/>
      <c r="H19" s="7"/>
      <c r="I19" s="8"/>
    </row>
    <row x14ac:dyDescent="0.25" r="20" customHeight="1" ht="18">
      <c r="A20" s="3"/>
      <c r="B20" s="3"/>
      <c r="C20" s="3"/>
      <c r="D20" s="3"/>
      <c r="E20" s="12"/>
      <c r="F20" s="3"/>
      <c r="G20" s="7"/>
      <c r="H20" s="7"/>
      <c r="I20" s="8"/>
    </row>
    <row x14ac:dyDescent="0.25" r="21" customHeight="1" ht="18">
      <c r="A21" s="3"/>
      <c r="B21" s="3"/>
      <c r="C21" s="3"/>
      <c r="D21" s="3"/>
      <c r="E21" s="12"/>
      <c r="F21" s="3"/>
      <c r="G21" s="7"/>
      <c r="H21" s="7"/>
      <c r="I21" s="8"/>
    </row>
    <row x14ac:dyDescent="0.25" r="22" customHeight="1" ht="18">
      <c r="A22" s="3"/>
      <c r="B22" s="3"/>
      <c r="C22" s="3"/>
      <c r="D22" s="3"/>
      <c r="E22" s="12"/>
      <c r="F22" s="3"/>
      <c r="G22" s="7"/>
      <c r="H22" s="7"/>
      <c r="I22" s="8"/>
    </row>
    <row x14ac:dyDescent="0.25" r="23" customHeight="1" ht="18">
      <c r="A23" s="3"/>
      <c r="B23" s="3"/>
      <c r="C23" s="3"/>
      <c r="D23" s="3"/>
      <c r="E23" s="12"/>
      <c r="F23" s="3"/>
      <c r="G23" s="7"/>
      <c r="H23" s="7"/>
      <c r="I23" s="8"/>
    </row>
    <row x14ac:dyDescent="0.25" r="24" customHeight="1" ht="18">
      <c r="A24" s="3"/>
      <c r="B24" s="3"/>
      <c r="C24" s="3"/>
      <c r="D24" s="3"/>
      <c r="E24" s="12"/>
      <c r="F24" s="3"/>
      <c r="G24" s="7"/>
      <c r="H24" s="7"/>
      <c r="I24" s="8"/>
    </row>
    <row x14ac:dyDescent="0.25" r="25" customHeight="1" ht="18">
      <c r="A25" s="3"/>
      <c r="B25" s="3"/>
      <c r="C25" s="3"/>
      <c r="D25" s="3"/>
      <c r="E25" s="12"/>
      <c r="F25" s="3"/>
      <c r="G25" s="7"/>
      <c r="H25" s="7"/>
      <c r="I25" s="8"/>
    </row>
    <row x14ac:dyDescent="0.25" r="26" customHeight="1" ht="18">
      <c r="A26" s="3"/>
      <c r="B26" s="3"/>
      <c r="C26" s="3"/>
      <c r="D26" s="3"/>
      <c r="E26" s="12"/>
      <c r="F26" s="3"/>
      <c r="G26" s="7"/>
      <c r="H26" s="7"/>
      <c r="I26" s="8"/>
    </row>
    <row x14ac:dyDescent="0.25" r="27" customHeight="1" ht="14.25">
      <c r="A27" s="3"/>
      <c r="B27" s="3"/>
      <c r="C27" s="3"/>
      <c r="D27" s="3"/>
      <c r="E27" s="12"/>
      <c r="F27" s="3"/>
      <c r="G27" s="7"/>
      <c r="H27" s="7"/>
      <c r="I27" s="8"/>
    </row>
    <row x14ac:dyDescent="0.25" r="28" customHeight="1" ht="18">
      <c r="A28" s="3"/>
      <c r="B28" s="3"/>
      <c r="C28" s="3"/>
      <c r="D28" s="3"/>
      <c r="E28" s="12"/>
      <c r="F28" s="3"/>
      <c r="G28" s="7"/>
      <c r="H28" s="7"/>
      <c r="I28" s="8"/>
    </row>
    <row x14ac:dyDescent="0.25" r="29" customHeight="1" ht="18">
      <c r="A29" s="3"/>
      <c r="B29" s="3"/>
      <c r="C29" s="3"/>
      <c r="D29" s="3"/>
      <c r="E29" s="12"/>
      <c r="F29" s="3"/>
      <c r="G29" s="7"/>
      <c r="H29" s="7"/>
      <c r="I29" s="8"/>
    </row>
    <row x14ac:dyDescent="0.25" r="30" customHeight="1" ht="18">
      <c r="A30" s="3"/>
      <c r="B30" s="3"/>
      <c r="C30" s="3"/>
      <c r="D30" s="3"/>
      <c r="E30" s="12"/>
      <c r="F30" s="3"/>
      <c r="G30" s="7"/>
      <c r="H30" s="7"/>
      <c r="I30" s="8"/>
    </row>
    <row x14ac:dyDescent="0.25" r="31" customHeight="1" ht="18">
      <c r="A31" s="3"/>
      <c r="B31" s="3"/>
      <c r="C31" s="3"/>
      <c r="D31" s="3"/>
      <c r="E31" s="12"/>
      <c r="F31" s="3"/>
      <c r="G31" s="7"/>
      <c r="H31" s="7"/>
      <c r="I31" s="8"/>
    </row>
    <row x14ac:dyDescent="0.25" r="32" customHeight="1" ht="18">
      <c r="A32" s="3"/>
      <c r="B32" s="3"/>
      <c r="C32" s="3"/>
      <c r="D32" s="3"/>
      <c r="E32" s="12"/>
      <c r="F32" s="3"/>
      <c r="G32" s="7"/>
      <c r="H32" s="7"/>
      <c r="I32" s="8"/>
    </row>
    <row x14ac:dyDescent="0.25" r="33" customHeight="1" ht="18">
      <c r="A33" s="3"/>
      <c r="B33" s="3"/>
      <c r="C33" s="3"/>
      <c r="D33" s="3"/>
      <c r="E33" s="12"/>
      <c r="F33" s="3"/>
      <c r="G33" s="7"/>
      <c r="H33" s="7"/>
      <c r="I33" s="8"/>
    </row>
    <row x14ac:dyDescent="0.25" r="34" customHeight="1" ht="18">
      <c r="A34" s="3"/>
      <c r="B34" s="3"/>
      <c r="C34" s="3"/>
      <c r="D34" s="3"/>
      <c r="E34" s="12"/>
      <c r="F34" s="3"/>
      <c r="G34" s="7"/>
      <c r="H34" s="7"/>
      <c r="I34" s="8"/>
    </row>
    <row x14ac:dyDescent="0.25" r="35" customHeight="1" ht="18">
      <c r="A35" s="13"/>
      <c r="B35" s="3"/>
      <c r="C35" s="3"/>
      <c r="D35" s="3"/>
      <c r="E35" s="12"/>
      <c r="F35" s="3"/>
      <c r="G35" s="7"/>
      <c r="H35" s="7"/>
      <c r="I35" s="8"/>
    </row>
    <row x14ac:dyDescent="0.25" r="36" customHeight="1" ht="18">
      <c r="A36" s="13"/>
      <c r="B36" s="3"/>
      <c r="C36" s="3"/>
      <c r="D36" s="3"/>
      <c r="E36" s="12"/>
      <c r="F36" s="3"/>
      <c r="G36" s="7"/>
      <c r="H36" s="7"/>
      <c r="I36" s="8"/>
    </row>
    <row x14ac:dyDescent="0.25" r="37" customHeight="1" ht="18">
      <c r="A37" s="3"/>
      <c r="B37" s="3"/>
      <c r="C37" s="3"/>
      <c r="D37" s="3"/>
      <c r="E37" s="12"/>
      <c r="F37" s="3"/>
      <c r="G37" s="7"/>
      <c r="H37" s="7"/>
      <c r="I37" s="8"/>
    </row>
    <row x14ac:dyDescent="0.25" r="38" customHeight="1" ht="18">
      <c r="A38" s="3"/>
      <c r="B38" s="3"/>
      <c r="C38" s="3"/>
      <c r="D38" s="3"/>
      <c r="E38" s="12"/>
      <c r="F38" s="3"/>
      <c r="G38" s="7"/>
      <c r="H38" s="7"/>
      <c r="I38" s="8"/>
    </row>
    <row x14ac:dyDescent="0.25" r="39" customHeight="1" ht="18">
      <c r="A39" s="3"/>
      <c r="B39" s="3"/>
      <c r="C39" s="3"/>
      <c r="D39" s="3"/>
      <c r="E39" s="12"/>
      <c r="F39" s="3"/>
      <c r="G39" s="7"/>
      <c r="H39" s="7"/>
      <c r="I39" s="8"/>
    </row>
    <row x14ac:dyDescent="0.25" r="40" customHeight="1" ht="18">
      <c r="A40" s="3"/>
      <c r="B40" s="3"/>
      <c r="C40" s="3"/>
      <c r="D40" s="3"/>
      <c r="E40" s="12"/>
      <c r="F40" s="3"/>
      <c r="G40" s="7"/>
      <c r="H40" s="7"/>
      <c r="I40" s="8"/>
    </row>
    <row x14ac:dyDescent="0.25" r="41" customHeight="1" ht="18">
      <c r="A41" s="3"/>
      <c r="B41" s="3"/>
      <c r="C41" s="3"/>
      <c r="D41" s="3"/>
      <c r="E41" s="12"/>
      <c r="F41" s="3"/>
      <c r="G41" s="7"/>
      <c r="H41" s="7"/>
      <c r="I41" s="8"/>
    </row>
    <row x14ac:dyDescent="0.25" r="42" customHeight="1" ht="18">
      <c r="A42" s="3"/>
      <c r="B42" s="3"/>
      <c r="C42" s="3"/>
      <c r="D42" s="3"/>
      <c r="E42" s="12"/>
      <c r="F42" s="3"/>
      <c r="G42" s="7"/>
      <c r="H42" s="7"/>
      <c r="I42" s="8"/>
    </row>
    <row x14ac:dyDescent="0.25" r="43" customHeight="1" ht="18">
      <c r="A43" s="14"/>
      <c r="B43" s="14"/>
      <c r="C43" s="14"/>
      <c r="D43" s="14"/>
      <c r="E43" s="15"/>
      <c r="F43" s="14"/>
      <c r="G43" s="7"/>
      <c r="H43" s="7"/>
      <c r="I43" s="8"/>
    </row>
    <row x14ac:dyDescent="0.25" r="44" customHeight="1" ht="18">
      <c r="A44" s="14"/>
      <c r="B44" s="14"/>
      <c r="C44" s="14"/>
      <c r="D44" s="14"/>
      <c r="E44" s="15"/>
      <c r="F44" s="14"/>
      <c r="G44" s="7"/>
      <c r="H44" s="7"/>
      <c r="I44" s="8"/>
    </row>
    <row x14ac:dyDescent="0.25" r="45" customHeight="1" ht="18">
      <c r="A45" s="14"/>
      <c r="B45" s="14"/>
      <c r="C45" s="14"/>
      <c r="D45" s="14"/>
      <c r="E45" s="15"/>
      <c r="F45" s="14"/>
      <c r="G45" s="7"/>
      <c r="H45" s="7"/>
      <c r="I45" s="8"/>
    </row>
    <row x14ac:dyDescent="0.25" r="46" customHeight="1" ht="18">
      <c r="A46" s="14"/>
      <c r="B46" s="14"/>
      <c r="C46" s="14"/>
      <c r="D46" s="14"/>
      <c r="E46" s="15"/>
      <c r="F46" s="14"/>
      <c r="G46" s="7"/>
      <c r="H46" s="7"/>
      <c r="I46" s="8"/>
    </row>
    <row x14ac:dyDescent="0.25" r="47" customHeight="1" ht="18">
      <c r="A47" s="14"/>
      <c r="B47" s="14"/>
      <c r="C47" s="14"/>
      <c r="D47" s="14"/>
      <c r="E47" s="15"/>
      <c r="F47" s="14"/>
      <c r="G47" s="7"/>
      <c r="H47" s="7"/>
      <c r="I47" s="8"/>
    </row>
    <row x14ac:dyDescent="0.25" r="48" customHeight="1" ht="18">
      <c r="A48" s="14"/>
      <c r="B48" s="14"/>
      <c r="C48" s="14"/>
      <c r="D48" s="14"/>
      <c r="E48" s="15"/>
      <c r="F48" s="14"/>
      <c r="G48" s="7"/>
      <c r="H48" s="7"/>
      <c r="I48" s="8"/>
    </row>
    <row x14ac:dyDescent="0.25" r="49" customHeight="1" ht="18">
      <c r="A49" s="14"/>
      <c r="B49" s="14"/>
      <c r="C49" s="14"/>
      <c r="D49" s="14"/>
      <c r="E49" s="15"/>
      <c r="F49" s="14"/>
      <c r="G49" s="7"/>
      <c r="H49" s="7"/>
      <c r="I49" s="8"/>
    </row>
    <row x14ac:dyDescent="0.25" r="50" customHeight="1" ht="18">
      <c r="A50" s="14"/>
      <c r="B50" s="14"/>
      <c r="C50" s="14"/>
      <c r="D50" s="14"/>
      <c r="E50" s="15"/>
      <c r="F50" s="14"/>
      <c r="G50" s="7"/>
      <c r="H50" s="7"/>
      <c r="I50" s="8"/>
    </row>
    <row x14ac:dyDescent="0.25" r="51" customHeight="1" ht="18">
      <c r="A51" s="14"/>
      <c r="B51" s="14"/>
      <c r="C51" s="14"/>
      <c r="D51" s="14"/>
      <c r="E51" s="15"/>
      <c r="F51" s="14"/>
      <c r="G51" s="7"/>
      <c r="H51" s="7"/>
      <c r="I51" s="8"/>
    </row>
    <row x14ac:dyDescent="0.25" r="52" customHeight="1" ht="18">
      <c r="A52" s="14"/>
      <c r="B52" s="14"/>
      <c r="C52" s="14"/>
      <c r="D52" s="14"/>
      <c r="E52" s="15"/>
      <c r="F52" s="14"/>
      <c r="G52" s="7"/>
      <c r="H52" s="7"/>
      <c r="I52" s="8"/>
    </row>
    <row x14ac:dyDescent="0.25" r="53" customHeight="1" ht="18">
      <c r="A53" s="14"/>
      <c r="B53" s="14"/>
      <c r="C53" s="14"/>
      <c r="D53" s="14"/>
      <c r="E53" s="15"/>
      <c r="F53" s="14"/>
      <c r="G53" s="7"/>
      <c r="H53" s="7"/>
      <c r="I53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6"/>
  <sheetViews>
    <sheetView workbookViewId="0"/>
  </sheetViews>
  <sheetFormatPr defaultRowHeight="15" x14ac:dyDescent="0.25"/>
  <cols>
    <col min="1" max="1" style="4" width="39.71928571428572" customWidth="1" bestFit="1"/>
    <col min="2" max="2" style="4" width="23.576428571428572" customWidth="1" bestFit="1"/>
    <col min="3" max="3" style="4" width="47.29071428571429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 t="s">
        <v>3</v>
      </c>
      <c r="B2" s="3"/>
      <c r="C2" s="3"/>
    </row>
    <row x14ac:dyDescent="0.25" r="3" customHeight="1" ht="18">
      <c r="A3" s="2" t="s">
        <v>4</v>
      </c>
      <c r="B3" s="3"/>
      <c r="C3" s="3"/>
    </row>
    <row x14ac:dyDescent="0.25" r="4" customHeight="1" ht="18">
      <c r="A4" s="2" t="s">
        <v>5</v>
      </c>
      <c r="B4" s="3"/>
      <c r="C4" s="3"/>
    </row>
    <row x14ac:dyDescent="0.25" r="5" customHeight="1" ht="18">
      <c r="A5" s="2" t="s">
        <v>6</v>
      </c>
      <c r="B5" s="3"/>
      <c r="C5" s="3"/>
    </row>
    <row x14ac:dyDescent="0.25" r="6" customHeight="1" ht="18">
      <c r="A6" s="2" t="s">
        <v>7</v>
      </c>
      <c r="B6" s="3"/>
      <c r="C6" s="3"/>
    </row>
    <row x14ac:dyDescent="0.25" r="7" customHeight="1" ht="18">
      <c r="A7" s="2" t="s">
        <v>8</v>
      </c>
      <c r="B7" s="3"/>
      <c r="C7" s="3"/>
    </row>
    <row x14ac:dyDescent="0.25" r="8" customHeight="1" ht="18">
      <c r="A8" s="2" t="s">
        <v>9</v>
      </c>
      <c r="B8" s="3"/>
      <c r="C8" s="3"/>
    </row>
    <row x14ac:dyDescent="0.25" r="9" customHeight="1" ht="18">
      <c r="A9" s="2" t="s">
        <v>10</v>
      </c>
      <c r="B9" s="3"/>
      <c r="C9" s="3"/>
    </row>
    <row x14ac:dyDescent="0.25" r="10" customHeight="1" ht="18">
      <c r="A10" s="2" t="s">
        <v>11</v>
      </c>
      <c r="B10" s="3"/>
      <c r="C10" s="3"/>
    </row>
    <row x14ac:dyDescent="0.25" r="11" customHeight="1" ht="18">
      <c r="A11" s="2" t="s">
        <v>12</v>
      </c>
      <c r="B11" s="3"/>
      <c r="C11" s="3"/>
    </row>
    <row x14ac:dyDescent="0.25" r="12" customHeight="1" ht="18">
      <c r="A12" s="2" t="s">
        <v>13</v>
      </c>
      <c r="B12" s="3"/>
      <c r="C12" s="3"/>
    </row>
    <row x14ac:dyDescent="0.25" r="13" customHeight="1" ht="18">
      <c r="A13" s="2" t="s">
        <v>14</v>
      </c>
      <c r="B13" s="3"/>
      <c r="C13" s="3"/>
    </row>
    <row x14ac:dyDescent="0.25" r="14" customHeight="1" ht="18">
      <c r="A14" s="2" t="s">
        <v>15</v>
      </c>
      <c r="B14" s="3"/>
      <c r="C14" s="3"/>
    </row>
    <row x14ac:dyDescent="0.25" r="15" customHeight="1" ht="18">
      <c r="A15" s="3"/>
      <c r="B15" s="3"/>
      <c r="C15" s="3"/>
    </row>
    <row x14ac:dyDescent="0.25" r="16" customHeight="1" ht="18">
      <c r="A16" s="3"/>
      <c r="B16" s="3"/>
      <c r="C16" s="3"/>
    </row>
    <row x14ac:dyDescent="0.25" r="17" customHeight="1" ht="18">
      <c r="A17" s="3"/>
      <c r="B17" s="3"/>
      <c r="C17" s="3"/>
    </row>
    <row x14ac:dyDescent="0.25" r="18" customHeight="1" ht="18">
      <c r="A18" s="3"/>
      <c r="B18" s="3"/>
      <c r="C18" s="3"/>
    </row>
    <row x14ac:dyDescent="0.25" r="19" customHeight="1" ht="18">
      <c r="A19" s="3"/>
      <c r="B19" s="3"/>
      <c r="C19" s="3"/>
    </row>
    <row x14ac:dyDescent="0.25" r="20" customHeight="1" ht="18">
      <c r="A20" s="3"/>
      <c r="B20" s="3"/>
      <c r="C20" s="3"/>
    </row>
    <row x14ac:dyDescent="0.25" r="21" customHeight="1" ht="18">
      <c r="A21" s="3"/>
      <c r="B21" s="3"/>
      <c r="C21" s="3"/>
    </row>
    <row x14ac:dyDescent="0.25" r="22" customHeight="1" ht="18">
      <c r="A22" s="3"/>
      <c r="B22" s="3"/>
      <c r="C22" s="3"/>
    </row>
    <row x14ac:dyDescent="0.25" r="23" customHeight="1" ht="18">
      <c r="A23" s="3"/>
      <c r="B23" s="3"/>
      <c r="C23" s="3"/>
    </row>
    <row x14ac:dyDescent="0.25" r="24" customHeight="1" ht="18">
      <c r="A24" s="3"/>
      <c r="B24" s="3"/>
      <c r="C24" s="3"/>
    </row>
    <row x14ac:dyDescent="0.25" r="25" customHeight="1" ht="18">
      <c r="A25" s="3"/>
      <c r="B25" s="3"/>
      <c r="C25" s="3"/>
    </row>
    <row x14ac:dyDescent="0.25" r="26" customHeight="1" ht="18">
      <c r="A26" s="3"/>
      <c r="B26" s="3"/>
      <c r="C26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Admin_Pages_Details</vt:lpstr>
      <vt:lpstr>G_St_Info</vt:lpstr>
      <vt:lpstr>S_St_Info</vt:lpstr>
      <vt:lpstr>Gold_St_P</vt:lpstr>
      <vt:lpstr>Silver_St_P</vt:lpstr>
      <vt:lpstr>D_Exp</vt:lpstr>
      <vt:lpstr>2025_Exp</vt:lpstr>
      <vt:lpstr>M_Salary</vt:lpstr>
      <vt:lpstr>W_Contact_Info</vt:lpstr>
      <vt:lpstr>Food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2026-04-05T13:49:58.613Z</dcterms:created>
  <dcterms:modified xsi:type="dcterms:W3CDTF">2026-04-05T13:49:58.613Z</dcterms:modified>
</cp:coreProperties>
</file>